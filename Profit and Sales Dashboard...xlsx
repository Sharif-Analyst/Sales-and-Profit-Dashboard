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ASHISH-QS-D\Desktop\EXCEL PROJECT\Profit and Sales Dashboard\"/>
    </mc:Choice>
  </mc:AlternateContent>
  <xr:revisionPtr revIDLastSave="0" documentId="13_ncr:1_{0B7D6C6D-AAA8-4421-8E41-175C1E2352B0}" xr6:coauthVersionLast="47" xr6:coauthVersionMax="47" xr10:uidLastSave="{00000000-0000-0000-0000-000000000000}"/>
  <bookViews>
    <workbookView xWindow="-120" yWindow="-120" windowWidth="20730" windowHeight="11160" activeTab="2" xr2:uid="{1B9D2DA5-2098-484F-A1AB-844AA41241A7}"/>
  </bookViews>
  <sheets>
    <sheet name="Data" sheetId="1" r:id="rId1"/>
    <sheet name="PivotTable" sheetId="3" r:id="rId2"/>
    <sheet name="Dashboard" sheetId="4" r:id="rId3"/>
  </sheets>
  <definedNames>
    <definedName name="_xlchart.v2.0" hidden="1">PivotTable!$I$17:$I$26</definedName>
    <definedName name="_xlchart.v2.1" hidden="1">PivotTable!$J$16</definedName>
    <definedName name="_xlchart.v2.2" hidden="1">PivotTable!$J$17:$J$26</definedName>
    <definedName name="Slicer_Category">#N/A</definedName>
    <definedName name="Slicer_St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3" l="1"/>
  <c r="I19" i="3"/>
  <c r="I20" i="3"/>
  <c r="I21" i="3"/>
  <c r="I22" i="3"/>
  <c r="I23" i="3"/>
  <c r="I24" i="3"/>
  <c r="I25" i="3"/>
  <c r="I26" i="3"/>
  <c r="I17" i="3"/>
  <c r="B12" i="3"/>
  <c r="B11" i="3"/>
  <c r="J18" i="3"/>
  <c r="J24" i="3"/>
  <c r="J19" i="3"/>
  <c r="J25" i="3"/>
  <c r="J23" i="3"/>
  <c r="J20" i="3"/>
  <c r="J26" i="3"/>
  <c r="J21" i="3"/>
  <c r="J22" i="3"/>
  <c r="J17" i="3"/>
  <c r="B13" i="3" l="1"/>
</calcChain>
</file>

<file path=xl/sharedStrings.xml><?xml version="1.0" encoding="utf-8"?>
<sst xmlns="http://schemas.openxmlformats.org/spreadsheetml/2006/main" count="6420" uniqueCount="885">
  <si>
    <t>Order ID</t>
  </si>
  <si>
    <t>Order Date</t>
  </si>
  <si>
    <t>Category</t>
  </si>
  <si>
    <t>Customer Name</t>
  </si>
  <si>
    <t>Segment</t>
  </si>
  <si>
    <t>State</t>
  </si>
  <si>
    <t>Region</t>
  </si>
  <si>
    <t>Sales Rep</t>
  </si>
  <si>
    <t>Quantity</t>
  </si>
  <si>
    <t>Unit Price</t>
  </si>
  <si>
    <t>Discount</t>
  </si>
  <si>
    <t>Sales</t>
  </si>
  <si>
    <t>Profit</t>
  </si>
  <si>
    <t>ORD-10001</t>
  </si>
  <si>
    <t>Technology</t>
  </si>
  <si>
    <t>Accessories</t>
  </si>
  <si>
    <t>Riverstone Partners</t>
  </si>
  <si>
    <t>Corporate</t>
  </si>
  <si>
    <t>Illinois</t>
  </si>
  <si>
    <t>Midwest</t>
  </si>
  <si>
    <t>Liam Brooks</t>
  </si>
  <si>
    <t>ORD-10002</t>
  </si>
  <si>
    <t>Laptops</t>
  </si>
  <si>
    <t>NorthStar Distribution</t>
  </si>
  <si>
    <t>Consumer</t>
  </si>
  <si>
    <t>Florida</t>
  </si>
  <si>
    <t>South</t>
  </si>
  <si>
    <t>Emma Carter</t>
  </si>
  <si>
    <t>ORD-10003</t>
  </si>
  <si>
    <t>Office Supplies</t>
  </si>
  <si>
    <t>Paper</t>
  </si>
  <si>
    <t>Lakeside Commerce</t>
  </si>
  <si>
    <t>Small Business</t>
  </si>
  <si>
    <t>New York</t>
  </si>
  <si>
    <t>Northeast</t>
  </si>
  <si>
    <t>Sophia Reed</t>
  </si>
  <si>
    <t>ORD-10004</t>
  </si>
  <si>
    <t>Storage</t>
  </si>
  <si>
    <t>Harbor Point Stores</t>
  </si>
  <si>
    <t>Noah Foster</t>
  </si>
  <si>
    <t>ORD-10005</t>
  </si>
  <si>
    <t>Sunrise Office Co.</t>
  </si>
  <si>
    <t>James Collins</t>
  </si>
  <si>
    <t>ORD-10006</t>
  </si>
  <si>
    <t>Binders</t>
  </si>
  <si>
    <t>Pioneer Logistics</t>
  </si>
  <si>
    <t>Georgia</t>
  </si>
  <si>
    <t>ORD-10007</t>
  </si>
  <si>
    <t>Furniture</t>
  </si>
  <si>
    <t>Chairs</t>
  </si>
  <si>
    <t>Colorado</t>
  </si>
  <si>
    <t>West</t>
  </si>
  <si>
    <t>ORD-10008</t>
  </si>
  <si>
    <t>Evergreen Business Hub</t>
  </si>
  <si>
    <t>California</t>
  </si>
  <si>
    <t>ORD-10009</t>
  </si>
  <si>
    <t>Liberty Health Supply</t>
  </si>
  <si>
    <t>Arizona</t>
  </si>
  <si>
    <t>ORD-10010</t>
  </si>
  <si>
    <t>ORD-10011</t>
  </si>
  <si>
    <t>Golden Gate Traders</t>
  </si>
  <si>
    <t>Washington</t>
  </si>
  <si>
    <t>ORD-10012</t>
  </si>
  <si>
    <t>MetroVista Group</t>
  </si>
  <si>
    <t>ORD-10013</t>
  </si>
  <si>
    <t>BrightPath Schools</t>
  </si>
  <si>
    <t>Texas</t>
  </si>
  <si>
    <t>Ava Bennett</t>
  </si>
  <si>
    <t>ORD-10014</t>
  </si>
  <si>
    <t>Silverline Services</t>
  </si>
  <si>
    <t>ORD-10015</t>
  </si>
  <si>
    <t>ORD-10016</t>
  </si>
  <si>
    <t>ORD-10017</t>
  </si>
  <si>
    <t>Capital Office Source</t>
  </si>
  <si>
    <t>North Carolina</t>
  </si>
  <si>
    <t>ORD-10018</t>
  </si>
  <si>
    <t>ORD-10019</t>
  </si>
  <si>
    <t>ORD-10020</t>
  </si>
  <si>
    <t>Tables</t>
  </si>
  <si>
    <t>ORD-10021</t>
  </si>
  <si>
    <t>Monitors</t>
  </si>
  <si>
    <t>Summit Tech Works</t>
  </si>
  <si>
    <t>ORD-10022</t>
  </si>
  <si>
    <t>ORD-10023</t>
  </si>
  <si>
    <t>ORD-10024</t>
  </si>
  <si>
    <t>ORD-10025</t>
  </si>
  <si>
    <t>ORD-10026</t>
  </si>
  <si>
    <t>Atlantic Growth LLC</t>
  </si>
  <si>
    <t>ORD-10027</t>
  </si>
  <si>
    <t>Redwood Health Network</t>
  </si>
  <si>
    <t>ORD-10028</t>
  </si>
  <si>
    <t>Desks</t>
  </si>
  <si>
    <t>Maple Street Outfitters</t>
  </si>
  <si>
    <t>ORD-10029</t>
  </si>
  <si>
    <t>ORD-10030</t>
  </si>
  <si>
    <t>Urban Peak Market</t>
  </si>
  <si>
    <t>ORD-10031</t>
  </si>
  <si>
    <t>ORD-10032</t>
  </si>
  <si>
    <t>ORD-10033</t>
  </si>
  <si>
    <t>ORD-10034</t>
  </si>
  <si>
    <t>ORD-10035</t>
  </si>
  <si>
    <t>ORD-10036</t>
  </si>
  <si>
    <t>ORD-10037</t>
  </si>
  <si>
    <t>ORD-10038</t>
  </si>
  <si>
    <t>Canyon Valley Goods</t>
  </si>
  <si>
    <t>ORD-10039</t>
  </si>
  <si>
    <t>Blue Ridge Retail</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</si>
  <si>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</si>
  <si>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</si>
  <si>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</si>
  <si>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</si>
  <si>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</si>
  <si>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</si>
  <si>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</si>
  <si>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</si>
  <si>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</si>
  <si>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</si>
  <si>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</si>
  <si>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</si>
  <si>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</si>
  <si>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</si>
  <si>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</si>
  <si>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</si>
  <si>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</si>
  <si>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</si>
  <si>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</si>
  <si>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</si>
  <si>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</si>
  <si>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</si>
  <si>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</si>
  <si>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</si>
  <si>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</si>
  <si>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</si>
  <si>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</si>
  <si>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</si>
  <si>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</si>
  <si>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</si>
  <si>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</si>
  <si>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</si>
  <si>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</si>
  <si>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</si>
  <si>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</si>
  <si>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</si>
  <si>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</si>
  <si>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</si>
  <si>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</si>
  <si>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</si>
  <si>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</si>
  <si>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</si>
  <si>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</si>
  <si>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</si>
  <si>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</si>
  <si>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</si>
  <si>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</si>
  <si>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</si>
  <si>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</si>
  <si>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</si>
  <si>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</si>
  <si>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</si>
  <si>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</si>
  <si>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</si>
  <si>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</si>
  <si>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</si>
  <si>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</si>
  <si>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</si>
  <si>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</si>
  <si>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</si>
  <si>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</si>
  <si>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</si>
  <si>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</si>
  <si>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</si>
  <si>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</si>
  <si>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</si>
  <si>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</si>
  <si>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</si>
  <si>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</si>
  <si>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</si>
  <si>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</si>
  <si>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</si>
  <si>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</si>
  <si>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</si>
  <si>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</si>
  <si>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</si>
  <si>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</si>
  <si>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</si>
  <si>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</si>
  <si>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</si>
  <si>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</si>
  <si>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</si>
  <si>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</si>
  <si>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</si>
  <si>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</si>
  <si>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</si>
  <si>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</si>
  <si>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</si>
  <si>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</si>
  <si>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</si>
  <si>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</si>
  <si>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</si>
  <si>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</si>
  <si>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</si>
  <si>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</si>
  <si>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</si>
  <si>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</si>
  <si>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</si>
  <si>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</si>
  <si>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</si>
  <si>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</si>
  <si>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</si>
  <si>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</si>
  <si>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</si>
  <si>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</si>
  <si>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</si>
  <si>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</si>
  <si>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</si>
  <si>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</si>
  <si>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</si>
  <si>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</si>
  <si>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</si>
  <si>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</si>
  <si>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</si>
  <si>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</si>
  <si>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</si>
  <si>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</si>
  <si>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</si>
  <si>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</si>
  <si>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</si>
  <si>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</si>
  <si>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</si>
  <si>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</si>
  <si>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</si>
  <si>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</si>
  <si>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</si>
  <si>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</si>
  <si>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</si>
  <si>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</si>
  <si>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</si>
  <si>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</si>
  <si>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</si>
  <si>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</si>
  <si>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</si>
  <si>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</si>
  <si>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</si>
  <si>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</si>
  <si>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</si>
  <si>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</si>
  <si>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</si>
  <si>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</si>
  <si>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</si>
  <si>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</si>
  <si>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</si>
  <si>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</si>
  <si>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</si>
  <si>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</si>
  <si>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</si>
  <si>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</si>
  <si>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</si>
  <si>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</si>
  <si>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</si>
  <si>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</si>
  <si>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</si>
  <si>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</si>
  <si>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</si>
  <si>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</si>
  <si>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</si>
  <si>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</si>
  <si>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</si>
  <si>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</si>
  <si>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</si>
  <si>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</si>
  <si>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</si>
  <si>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</si>
  <si>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</si>
  <si>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</si>
  <si>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</si>
  <si>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</si>
  <si>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</si>
  <si>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</si>
  <si>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</si>
  <si>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</si>
  <si>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</si>
  <si>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</si>
  <si>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</si>
  <si>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</si>
  <si>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</si>
  <si>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</si>
  <si>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</si>
  <si>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</si>
  <si>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</si>
  <si>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</si>
  <si>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</si>
  <si>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</si>
  <si>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</si>
  <si>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</si>
  <si>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</si>
  <si>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</si>
  <si>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</si>
  <si>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</si>
  <si>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</si>
  <si>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</si>
  <si>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</si>
  <si>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</si>
  <si>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</si>
  <si>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</si>
  <si>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</si>
  <si>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</si>
  <si>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</si>
  <si>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</si>
  <si>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</si>
  <si>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</si>
  <si>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</si>
  <si>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</si>
  <si>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</si>
  <si>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</si>
  <si>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</si>
  <si>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</si>
  <si>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</si>
  <si>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</si>
  <si>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</si>
  <si>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</si>
  <si>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</si>
  <si>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</si>
  <si>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</si>
  <si>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</si>
  <si>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</si>
  <si>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</si>
  <si>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</si>
  <si>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</si>
  <si>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</si>
  <si>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</si>
  <si>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</si>
  <si>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</si>
  <si>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</si>
  <si>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</si>
  <si>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</si>
  <si>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</si>
  <si>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</si>
  <si>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</si>
  <si>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</si>
  <si>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</si>
  <si>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</si>
  <si>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</si>
  <si>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</si>
  <si>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</si>
  <si>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</si>
  <si>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</si>
  <si>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</si>
  <si>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</si>
  <si>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</si>
  <si>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</si>
  <si>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</si>
  <si>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</si>
  <si>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</si>
  <si>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</si>
  <si>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</si>
  <si>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</si>
  <si>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</si>
  <si>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</si>
  <si>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</si>
  <si>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</si>
  <si>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</si>
  <si>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</si>
  <si>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</si>
  <si>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</si>
  <si>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</si>
  <si>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</si>
  <si>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</si>
  <si>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</si>
  <si>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</si>
  <si>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</si>
  <si>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</si>
  <si>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</si>
  <si>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</si>
  <si>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</si>
  <si>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</si>
  <si>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</si>
  <si>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</si>
  <si>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</si>
  <si>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</si>
  <si>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</si>
  <si>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</si>
  <si>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</si>
  <si>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</si>
  <si>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</si>
  <si>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</si>
  <si>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</si>
  <si>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</si>
  <si>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</si>
  <si>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</si>
  <si>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</si>
  <si>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</si>
  <si>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</si>
  <si>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</si>
  <si>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</si>
  <si>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</si>
  <si>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</si>
  <si>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</si>
  <si>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</si>
  <si>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</si>
  <si>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</si>
  <si>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</si>
  <si>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</si>
  <si>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</si>
  <si>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</si>
  <si>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</si>
  <si>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</si>
  <si>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</si>
  <si>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</si>
  <si>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</si>
  <si>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</si>
  <si>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</si>
  <si>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</si>
  <si>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</si>
  <si>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</si>
  <si>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</si>
  <si>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</si>
  <si>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</si>
  <si>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</si>
  <si>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</si>
  <si>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</si>
  <si>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</si>
  <si>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</si>
  <si>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</si>
  <si>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</si>
  <si>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</si>
  <si>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</si>
  <si>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</si>
  <si>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</si>
  <si>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</si>
  <si>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</si>
  <si>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</si>
  <si>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</si>
  <si>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</si>
  <si>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</si>
  <si>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</si>
  <si>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</si>
  <si>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</si>
  <si>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</si>
  <si>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</si>
  <si>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</si>
  <si>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</si>
  <si>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</si>
  <si>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</si>
  <si>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</si>
  <si>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</si>
  <si>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</si>
  <si>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</si>
  <si>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</si>
  <si>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</si>
  <si>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</si>
  <si>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</si>
  <si>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</si>
  <si>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</si>
  <si>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</si>
  <si>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</si>
  <si>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</si>
  <si>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</si>
  <si>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</si>
  <si>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</si>
  <si>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</si>
  <si>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</si>
  <si>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</si>
  <si>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</si>
  <si>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</si>
  <si>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</si>
  <si>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</si>
  <si>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</si>
  <si>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</si>
  <si>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</si>
  <si>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</si>
  <si>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</si>
  <si>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</si>
  <si>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</si>
  <si>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</si>
  <si>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</si>
  <si>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</si>
  <si>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</si>
  <si>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</si>
  <si>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</si>
  <si>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</si>
  <si>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</si>
  <si>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</si>
  <si>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</si>
  <si>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</si>
  <si>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</si>
  <si>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</si>
  <si>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</si>
  <si>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</si>
  <si>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</si>
  <si>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</si>
  <si>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</si>
  <si>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</si>
  <si>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</si>
  <si>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</si>
  <si>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</si>
  <si>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</si>
  <si>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</si>
  <si>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</si>
  <si>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</si>
  <si>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</si>
  <si>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</si>
  <si>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</si>
  <si>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</si>
  <si>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</si>
  <si>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</si>
  <si>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</si>
  <si>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</si>
  <si>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</si>
  <si>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</si>
  <si>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</si>
  <si>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</si>
  <si>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</si>
  <si>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</si>
  <si>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</si>
  <si>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</si>
  <si>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</si>
  <si>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</si>
  <si>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</si>
  <si>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</si>
  <si>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</si>
  <si>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</si>
  <si>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</si>
  <si>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</si>
  <si>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</si>
  <si>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</si>
  <si>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</si>
  <si>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</si>
  <si>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</si>
  <si>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</si>
  <si>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</si>
  <si>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</si>
  <si>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</si>
  <si>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</si>
  <si>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</si>
  <si>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</si>
  <si>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</si>
  <si>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</si>
  <si>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</si>
  <si>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</si>
  <si>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</si>
  <si>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</si>
  <si>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</si>
  <si>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</si>
  <si>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</si>
  <si>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</si>
  <si>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</si>
  <si>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</si>
  <si>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</si>
  <si>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</si>
  <si>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</si>
  <si>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</si>
  <si>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</si>
  <si>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</si>
  <si>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</si>
  <si>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</si>
  <si>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</si>
  <si>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</si>
  <si>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</si>
  <si>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</si>
  <si>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</si>
  <si>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</si>
  <si>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</si>
  <si>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</si>
  <si>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</si>
  <si>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</si>
  <si>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</si>
  <si>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</si>
  <si>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</si>
  <si>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</si>
  <si>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</si>
  <si>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</si>
  <si>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</si>
  <si>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</si>
  <si>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</si>
  <si>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</si>
  <si>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</si>
  <si>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</si>
  <si>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</si>
  <si>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</si>
  <si>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</si>
  <si>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</si>
  <si>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</si>
  <si>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</si>
  <si>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</si>
  <si>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</si>
  <si>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</si>
  <si>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</si>
  <si>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</si>
  <si>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</si>
  <si>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</si>
  <si>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</si>
  <si>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</si>
  <si>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</si>
  <si>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</si>
  <si>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</si>
  <si>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</si>
  <si>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</si>
  <si>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</si>
  <si>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</si>
  <si>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</si>
  <si>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</si>
  <si>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</si>
  <si>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</si>
  <si>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</si>
  <si>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</si>
  <si>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</si>
  <si>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</si>
  <si>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</si>
  <si>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</si>
  <si>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</si>
  <si>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</si>
  <si>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</si>
  <si>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</si>
  <si>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</si>
  <si>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</si>
  <si>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</si>
  <si>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</si>
  <si>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</si>
  <si>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</si>
  <si>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</si>
  <si>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</si>
  <si>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</si>
  <si>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</si>
  <si>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</si>
  <si>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</si>
  <si>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</si>
  <si>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</si>
  <si>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</si>
  <si>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</si>
  <si>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</si>
  <si>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</si>
  <si>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</si>
  <si>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</si>
  <si>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</si>
  <si>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</si>
  <si>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</si>
  <si>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</si>
  <si>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</si>
  <si>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</si>
  <si>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</si>
  <si>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</si>
  <si>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</si>
  <si>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</si>
  <si>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</si>
  <si>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</si>
  <si>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</si>
  <si>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</si>
  <si>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</si>
  <si>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</si>
  <si>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</si>
  <si>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</si>
  <si>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</si>
  <si>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</si>
  <si>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</si>
  <si>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</si>
  <si>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</si>
  <si>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</si>
  <si>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</si>
  <si>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</si>
  <si>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</si>
  <si>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</si>
  <si>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</si>
  <si>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</si>
  <si>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</si>
  <si>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</si>
  <si>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</si>
  <si>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</si>
  <si>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</si>
  <si>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</si>
  <si>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</si>
  <si>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</si>
  <si>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</si>
  <si>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</si>
  <si>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</si>
  <si>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</si>
  <si>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</si>
  <si>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</si>
  <si>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</si>
  <si>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</si>
  <si>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</si>
  <si>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</si>
  <si>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</si>
  <si>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</si>
  <si>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</si>
  <si>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</si>
  <si>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</si>
  <si>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</si>
  <si>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</si>
  <si>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</si>
  <si>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</si>
  <si>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</si>
  <si>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</si>
  <si>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</si>
  <si>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</si>
  <si>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</si>
  <si>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</si>
  <si>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</si>
  <si>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</si>
  <si>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</si>
  <si>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</si>
  <si>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</si>
  <si>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</si>
  <si>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</si>
  <si>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</si>
  <si>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</si>
  <si>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</si>
  <si>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</si>
  <si>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</si>
  <si>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</si>
  <si>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</si>
  <si>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</si>
  <si>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</si>
  <si>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</si>
  <si>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</si>
  <si>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</si>
  <si>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</si>
  <si>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</si>
  <si>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</si>
  <si>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</si>
  <si>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</si>
  <si>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</si>
  <si>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</si>
  <si>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</si>
  <si>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</si>
  <si>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</si>
  <si>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</si>
  <si>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</si>
  <si>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</si>
  <si>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</si>
  <si>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</si>
  <si>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</si>
  <si>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</si>
  <si>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</si>
  <si>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</si>
  <si>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</si>
  <si>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</si>
  <si>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</si>
  <si>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</si>
  <si>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</si>
  <si>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</si>
  <si>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</si>
  <si>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</si>
  <si>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</si>
  <si>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</si>
  <si>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</si>
  <si>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</si>
  <si>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</si>
  <si>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</si>
  <si>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</si>
  <si>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</si>
  <si>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</si>
  <si>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</si>
  <si>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</si>
  <si>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</si>
  <si>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</si>
  <si>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</si>
  <si>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</si>
  <si>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</si>
  <si>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</si>
  <si>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</si>
  <si>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</si>
  <si>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</si>
  <si>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</si>
  <si>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</si>
  <si>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</si>
  <si>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</si>
  <si>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</si>
  <si>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</si>
  <si>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</si>
  <si>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</si>
  <si>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</si>
  <si>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</si>
  <si>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</si>
  <si>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</si>
  <si>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</si>
  <si>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</si>
  <si>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</si>
  <si>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</si>
  <si>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</si>
  <si>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</si>
  <si>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</si>
  <si>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</si>
  <si>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</si>
  <si>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</si>
  <si>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</si>
  <si>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</si>
  <si>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</si>
  <si>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</si>
  <si>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</si>
  <si>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</si>
  <si>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</si>
  <si>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</si>
  <si>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</si>
  <si>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</si>
  <si>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</si>
  <si>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</si>
  <si>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</si>
  <si>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</si>
  <si>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</si>
  <si>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</si>
  <si>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</si>
  <si>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</si>
  <si>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</si>
  <si>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</si>
  <si>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</si>
  <si>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</si>
  <si>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</si>
  <si>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</si>
  <si>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</si>
  <si>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</si>
  <si>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</si>
  <si>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</si>
  <si>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</si>
  <si>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</si>
  <si>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</si>
  <si>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</si>
  <si>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</si>
  <si>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</si>
  <si>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</si>
  <si>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</si>
  <si>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</si>
  <si>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</si>
  <si>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</si>
  <si>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</si>
  <si>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</si>
  <si>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</si>
  <si>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</si>
  <si>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</si>
  <si>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</si>
  <si>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</si>
  <si>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</si>
  <si>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</si>
  <si>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</si>
  <si>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</si>
  <si>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</si>
  <si>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</si>
  <si>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</si>
  <si>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</si>
  <si>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</si>
  <si>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</si>
  <si>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</si>
  <si>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</si>
  <si>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</si>
  <si>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</si>
  <si>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</si>
  <si>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</si>
  <si>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</si>
  <si>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</si>
  <si>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</si>
  <si>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</si>
  <si>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</si>
  <si>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</si>
  <si>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</si>
  <si>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</si>
  <si>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</si>
  <si>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</si>
  <si>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</si>
  <si>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</si>
  <si>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</si>
  <si>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</si>
  <si>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</si>
  <si>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Sum of Sales</t>
  </si>
  <si>
    <t>Sum of Profit</t>
  </si>
  <si>
    <t>Row Labels</t>
  </si>
  <si>
    <t>Grand Total</t>
  </si>
  <si>
    <t>2022</t>
  </si>
  <si>
    <t>2023</t>
  </si>
  <si>
    <t>2024</t>
  </si>
  <si>
    <t>2025</t>
  </si>
  <si>
    <t>Sub-Category</t>
  </si>
  <si>
    <t>Jan</t>
  </si>
  <si>
    <t>Feb</t>
  </si>
  <si>
    <t>Mar</t>
  </si>
  <si>
    <t>Apr</t>
  </si>
  <si>
    <t>May</t>
  </si>
  <si>
    <t>Jun</t>
  </si>
  <si>
    <t>Jul</t>
  </si>
  <si>
    <t>Aug</t>
  </si>
  <si>
    <t>Sep</t>
  </si>
  <si>
    <t>Oct</t>
  </si>
  <si>
    <t>Nov</t>
  </si>
  <si>
    <t>Dec</t>
  </si>
  <si>
    <t>Total Sales</t>
  </si>
  <si>
    <t>Total Profit</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</si>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</sst>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409]d/mmm/yyyy;@"/>
    <numFmt numFmtId="165" formatCode="&quot;$&quot;#,##0"/>
    <numFmt numFmtId="166" formatCode="_(&quot;$&quot;* #,##0_);_(&quot;$&quot;* \(#,##0\);_(&quot;$&quot;* &quot;-&quot;??_);_(@_)"/>
  </numFmts>
  <fonts count="5" x14ac:knownFonts="1">
    <font>
      <sz val="12"/>
      <color theme="1"/>
      <name val="Lora Medium"/>
      <family val="2"/>
    </font>
    <font>
      <sz val="12"/>
      <color theme="1"/>
      <name val="Lora Medium"/>
      <family val="2"/>
    </font>
    <font>
      <sz val="12"/>
      <color theme="1"/>
      <name val="Lora"/>
    </font>
    <font>
      <b/>
      <sz val="12"/>
      <color theme="1"/>
      <name val="Lora"/>
    </font>
    <font>
      <sz val="12"/>
      <color theme="0"/>
      <name val="Lora Medium"/>
      <family val="2"/>
    </font>
  </fonts>
  <fills count="3">
    <fill>
      <patternFill patternType="none"/>
    </fill>
    <fill>
      <patternFill patternType="gray125"/>
    </fill>
    <fill>
      <patternFill patternType="solid">
        <fgColor theme="4"/>
      </patternFill>
    </fill>
  </fills>
  <borders count="2">
    <border>
      <left/>
      <right/>
      <top/>
      <bottom/>
      <diagonal/>
    </border>
    <border>
      <left style="thin">
        <color indexed="64"/>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2" borderId="0" applyNumberFormat="0" applyBorder="0" applyAlignment="0" applyProtection="0"/>
  </cellStyleXfs>
  <cellXfs count="13">
    <xf numFmtId="0" fontId="0" fillId="0" borderId="0" xfId="0"/>
    <xf numFmtId="0" fontId="2" fillId="0" borderId="0" xfId="0" applyFont="1"/>
    <xf numFmtId="164" fontId="2" fillId="0" borderId="0" xfId="0" applyNumberFormat="1" applyFont="1"/>
    <xf numFmtId="165" fontId="2" fillId="0" borderId="0" xfId="0" applyNumberFormat="1" applyFont="1"/>
    <xf numFmtId="9" fontId="2" fillId="0" borderId="0" xfId="1" applyFont="1"/>
    <xf numFmtId="0" fontId="3" fillId="0" borderId="1" xfId="0" applyFont="1" applyBorder="1"/>
    <xf numFmtId="0" fontId="0" fillId="0" borderId="0" xfId="0" pivotButton="1"/>
    <xf numFmtId="0" fontId="0" fillId="0" borderId="0" xfId="0" applyAlignment="1">
      <alignment horizontal="left"/>
    </xf>
    <xf numFmtId="166" fontId="0" fillId="0" borderId="0" xfId="2" applyNumberFormat="1" applyFont="1"/>
    <xf numFmtId="9" fontId="0" fillId="0" borderId="0" xfId="1" applyFont="1"/>
    <xf numFmtId="0" fontId="4" fillId="2" borderId="0" xfId="3" applyAlignment="1">
      <alignment horizontal="left"/>
    </xf>
    <xf numFmtId="0" fontId="4" fillId="2" borderId="0" xfId="3"/>
    <xf numFmtId="166" fontId="0" fillId="0" borderId="0" xfId="0" applyNumberFormat="1"/>
  </cellXfs>
  <cellStyles count="4">
    <cellStyle name="Accent1" xfId="3" builtinId="29"/>
    <cellStyle name="Currency" xfId="2" builtinId="4"/>
    <cellStyle name="Normal" xfId="0" builtinId="0"/>
    <cellStyle name="Percent" xfId="1" builtinId="5"/>
  </cellStyles>
  <dxfs count="27">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font>
        <b val="0"/>
        <i val="0"/>
        <strike val="0"/>
        <condense val="0"/>
        <extend val="0"/>
        <outline val="0"/>
        <shadow val="0"/>
        <u val="none"/>
        <vertAlign val="baseline"/>
        <sz val="12"/>
        <color theme="1"/>
        <name val="Lora"/>
        <scheme val="none"/>
      </font>
      <numFmt numFmtId="165" formatCode="&quot;$&quot;#,##0"/>
    </dxf>
    <dxf>
      <font>
        <b val="0"/>
        <i val="0"/>
        <strike val="0"/>
        <condense val="0"/>
        <extend val="0"/>
        <outline val="0"/>
        <shadow val="0"/>
        <u val="none"/>
        <vertAlign val="baseline"/>
        <sz val="12"/>
        <color theme="1"/>
        <name val="Lora"/>
        <scheme val="none"/>
      </font>
      <numFmt numFmtId="165" formatCode="&quot;$&quot;#,##0"/>
    </dxf>
    <dxf>
      <font>
        <b val="0"/>
        <i val="0"/>
        <strike val="0"/>
        <condense val="0"/>
        <extend val="0"/>
        <outline val="0"/>
        <shadow val="0"/>
        <u val="none"/>
        <vertAlign val="baseline"/>
        <sz val="12"/>
        <color theme="1"/>
        <name val="Lora"/>
        <scheme val="none"/>
      </font>
    </dxf>
    <dxf>
      <font>
        <b val="0"/>
        <i val="0"/>
        <strike val="0"/>
        <condense val="0"/>
        <extend val="0"/>
        <outline val="0"/>
        <shadow val="0"/>
        <u val="none"/>
        <vertAlign val="baseline"/>
        <sz val="12"/>
        <color theme="1"/>
        <name val="Lora"/>
        <scheme val="none"/>
      </font>
      <numFmt numFmtId="165" formatCode="&quot;$&quot;#,##0"/>
    </dxf>
    <dxf>
      <font>
        <b val="0"/>
        <i val="0"/>
        <strike val="0"/>
        <condense val="0"/>
        <extend val="0"/>
        <outline val="0"/>
        <shadow val="0"/>
        <u val="none"/>
        <vertAlign val="baseline"/>
        <sz val="12"/>
        <color theme="1"/>
        <name val="Lora"/>
        <scheme val="none"/>
      </font>
    </dxf>
    <dxf>
      <font>
        <b val="0"/>
        <i val="0"/>
        <strike val="0"/>
        <condense val="0"/>
        <extend val="0"/>
        <outline val="0"/>
        <shadow val="0"/>
        <u val="none"/>
        <vertAlign val="baseline"/>
        <sz val="12"/>
        <color theme="1"/>
        <name val="Lora"/>
        <scheme val="none"/>
      </font>
    </dxf>
    <dxf>
      <font>
        <b val="0"/>
        <i val="0"/>
        <strike val="0"/>
        <condense val="0"/>
        <extend val="0"/>
        <outline val="0"/>
        <shadow val="0"/>
        <u val="none"/>
        <vertAlign val="baseline"/>
        <sz val="12"/>
        <color theme="1"/>
        <name val="Lora"/>
        <scheme val="none"/>
      </font>
    </dxf>
    <dxf>
      <font>
        <b val="0"/>
        <i val="0"/>
        <strike val="0"/>
        <condense val="0"/>
        <extend val="0"/>
        <outline val="0"/>
        <shadow val="0"/>
        <u val="none"/>
        <vertAlign val="baseline"/>
        <sz val="12"/>
        <color theme="1"/>
        <name val="Lora"/>
        <scheme val="none"/>
      </font>
    </dxf>
    <dxf>
      <font>
        <b val="0"/>
        <i val="0"/>
        <strike val="0"/>
        <condense val="0"/>
        <extend val="0"/>
        <outline val="0"/>
        <shadow val="0"/>
        <u val="none"/>
        <vertAlign val="baseline"/>
        <sz val="12"/>
        <color theme="1"/>
        <name val="Lora"/>
        <scheme val="none"/>
      </font>
    </dxf>
    <dxf>
      <font>
        <b val="0"/>
        <i val="0"/>
        <strike val="0"/>
        <condense val="0"/>
        <extend val="0"/>
        <outline val="0"/>
        <shadow val="0"/>
        <u val="none"/>
        <vertAlign val="baseline"/>
        <sz val="12"/>
        <color theme="1"/>
        <name val="Lora"/>
        <scheme val="none"/>
      </font>
    </dxf>
    <dxf>
      <font>
        <b val="0"/>
        <i val="0"/>
        <strike val="0"/>
        <condense val="0"/>
        <extend val="0"/>
        <outline val="0"/>
        <shadow val="0"/>
        <u val="none"/>
        <vertAlign val="baseline"/>
        <sz val="12"/>
        <color theme="1"/>
        <name val="Lora"/>
        <scheme val="none"/>
      </font>
    </dxf>
    <dxf>
      <font>
        <b val="0"/>
        <i val="0"/>
        <strike val="0"/>
        <condense val="0"/>
        <extend val="0"/>
        <outline val="0"/>
        <shadow val="0"/>
        <u val="none"/>
        <vertAlign val="baseline"/>
        <sz val="12"/>
        <color theme="1"/>
        <name val="Lora"/>
        <scheme val="none"/>
      </font>
    </dxf>
    <dxf>
      <font>
        <b val="0"/>
        <i val="0"/>
        <strike val="0"/>
        <condense val="0"/>
        <extend val="0"/>
        <outline val="0"/>
        <shadow val="0"/>
        <u val="none"/>
        <vertAlign val="baseline"/>
        <sz val="12"/>
        <color theme="1"/>
        <name val="Lora"/>
        <scheme val="none"/>
      </font>
      <numFmt numFmtId="164" formatCode="[$-409]d/mmm/yyyy;@"/>
    </dxf>
    <dxf>
      <font>
        <b val="0"/>
        <i val="0"/>
        <strike val="0"/>
        <condense val="0"/>
        <extend val="0"/>
        <outline val="0"/>
        <shadow val="0"/>
        <u val="none"/>
        <vertAlign val="baseline"/>
        <sz val="12"/>
        <color theme="1"/>
        <name val="Lora"/>
        <scheme val="none"/>
      </font>
    </dxf>
    <dxf>
      <border outline="0">
        <top style="thin">
          <color indexed="64"/>
        </top>
      </border>
    </dxf>
    <dxf>
      <font>
        <b val="0"/>
        <i val="0"/>
        <strike val="0"/>
        <condense val="0"/>
        <extend val="0"/>
        <outline val="0"/>
        <shadow val="0"/>
        <u val="none"/>
        <vertAlign val="baseline"/>
        <sz val="12"/>
        <color theme="1"/>
        <name val="Lora"/>
        <scheme val="none"/>
      </font>
    </dxf>
    <dxf>
      <border outline="0">
        <bottom style="thin">
          <color indexed="64"/>
        </bottom>
      </border>
    </dxf>
    <dxf>
      <font>
        <b/>
        <i val="0"/>
        <strike val="0"/>
        <condense val="0"/>
        <extend val="0"/>
        <outline val="0"/>
        <shadow val="0"/>
        <u val="none"/>
        <vertAlign val="baseline"/>
        <sz val="12"/>
        <color theme="1"/>
        <name val="Lora"/>
        <scheme val="none"/>
      </font>
      <border diagonalUp="0" diagonalDown="0" outline="0">
        <left style="thin">
          <color indexed="64"/>
        </left>
        <right style="thin">
          <color indexed="64"/>
        </right>
        <top/>
        <bottom/>
      </border>
    </dxf>
    <dxf>
      <font>
        <b val="0"/>
        <i val="0"/>
        <sz val="10"/>
        <color theme="0"/>
        <name val="Aptos Narrow"/>
        <family val="2"/>
        <scheme val="minor"/>
      </font>
      <border>
        <bottom style="thin">
          <color theme="4"/>
        </bottom>
        <vertical/>
        <horizontal/>
      </border>
    </dxf>
    <dxf>
      <font>
        <b val="0"/>
        <i val="0"/>
        <sz val="9"/>
        <color theme="1"/>
        <name val="Aptos Narrow"/>
        <family val="2"/>
        <scheme val="minor"/>
      </font>
      <fill>
        <patternFill patternType="solid">
          <bgColor theme="1"/>
        </patternFill>
      </fill>
      <border diagonalUp="0" diagonalDown="0">
        <left/>
        <right/>
        <top/>
        <bottom/>
        <vertical/>
        <horizontal/>
      </border>
    </dxf>
  </dxfs>
  <tableStyles count="1" defaultTableStyle="TableStyleMedium2" defaultPivotStyle="PivotStyleLight16">
    <tableStyle name="SlicerStyleDark1 3" pivot="0" table="0" count="10" xr9:uid="{D27C3CD0-9455-4684-A3CB-C7A613CF9C64}">
      <tableStyleElement type="wholeTable" dxfId="26"/>
      <tableStyleElement type="headerRow" dxfId="2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 and Sales Dashboard...xlsx]PivotTable!PivotTable7</c:name>
    <c:fmtId val="5"/>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US">
                <a:solidFill>
                  <a:schemeClr val="bg1"/>
                </a:solidFill>
              </a:rPr>
              <a:t>Profit By</a:t>
            </a:r>
            <a:r>
              <a:rPr lang="en-US" baseline="0">
                <a:solidFill>
                  <a:schemeClr val="bg1"/>
                </a:solidFill>
              </a:rPr>
              <a:t> Year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PivotTable!$D$3</c:f>
              <c:strCache>
                <c:ptCount val="1"/>
                <c:pt idx="0">
                  <c:v>Total</c:v>
                </c:pt>
              </c:strCache>
            </c:strRef>
          </c:tx>
          <c:explosion val="5"/>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EE8-4F7E-B832-AF6E97CB2F9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EE8-4F7E-B832-AF6E97CB2F9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EE8-4F7E-B832-AF6E97CB2F9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EE8-4F7E-B832-AF6E97CB2F9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PivotTable!$C$4:$C$8</c:f>
              <c:strCache>
                <c:ptCount val="4"/>
                <c:pt idx="0">
                  <c:v>2022</c:v>
                </c:pt>
                <c:pt idx="1">
                  <c:v>2023</c:v>
                </c:pt>
                <c:pt idx="2">
                  <c:v>2024</c:v>
                </c:pt>
                <c:pt idx="3">
                  <c:v>2025</c:v>
                </c:pt>
              </c:strCache>
            </c:strRef>
          </c:cat>
          <c:val>
            <c:numRef>
              <c:f>PivotTable!$D$4:$D$8</c:f>
              <c:numCache>
                <c:formatCode>_("$"* #,##0_);_("$"* \(#,##0\);_("$"* "-"??_);_(@_)</c:formatCode>
                <c:ptCount val="4"/>
                <c:pt idx="0">
                  <c:v>54635.72</c:v>
                </c:pt>
                <c:pt idx="1">
                  <c:v>75679.860000000015</c:v>
                </c:pt>
                <c:pt idx="2">
                  <c:v>70521.999999999985</c:v>
                </c:pt>
                <c:pt idx="3">
                  <c:v>79861.430000000022</c:v>
                </c:pt>
              </c:numCache>
            </c:numRef>
          </c:val>
          <c:extLst>
            <c:ext xmlns:c16="http://schemas.microsoft.com/office/drawing/2014/chart" uri="{C3380CC4-5D6E-409C-BE32-E72D297353CC}">
              <c16:uniqueId val="{00000008-FEE8-4F7E-B832-AF6E97CB2F9A}"/>
            </c:ext>
          </c:extLst>
        </c:ser>
        <c:dLbls>
          <c:showLegendKey val="0"/>
          <c:showVal val="1"/>
          <c:showCatName val="0"/>
          <c:showSerName val="0"/>
          <c:showPercent val="0"/>
          <c:showBubbleSize val="0"/>
          <c:showLeaderLines val="1"/>
        </c:dLbls>
        <c:firstSliceAng val="0"/>
        <c:holeSize val="4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 and Sales Dashboard...xlsx]PivotTable!PivotTable7</c:name>
    <c:fmtId val="6"/>
  </c:pivotSource>
  <c:chart>
    <c:title>
      <c:tx>
        <c:rich>
          <a:bodyPr rot="0" spcFirstLastPara="1" vertOverflow="ellipsis" vert="horz" wrap="square" anchor="ctr" anchorCtr="1"/>
          <a:lstStyle/>
          <a:p>
            <a:pPr>
              <a:defRPr sz="1600" b="1" i="0" u="none" strike="noStrike" kern="1200" cap="all" spc="50" baseline="0">
                <a:solidFill>
                  <a:schemeClr val="bg1"/>
                </a:solidFill>
                <a:latin typeface="+mn-lt"/>
                <a:ea typeface="+mn-ea"/>
                <a:cs typeface="+mn-cs"/>
              </a:defRPr>
            </a:pPr>
            <a:r>
              <a:rPr lang="en-US" sz="1600">
                <a:solidFill>
                  <a:schemeClr val="bg1"/>
                </a:solidFill>
              </a:rPr>
              <a:t>Profit By Years</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2">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bg2">
              <a:lumMod val="25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bg1">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PivotTable!$D$3</c:f>
              <c:strCache>
                <c:ptCount val="1"/>
                <c:pt idx="0">
                  <c:v>Total</c:v>
                </c:pt>
              </c:strCache>
            </c:strRef>
          </c:tx>
          <c:explosion val="5"/>
          <c:dPt>
            <c:idx val="0"/>
            <c:bubble3D val="0"/>
            <c:spPr>
              <a:solidFill>
                <a:schemeClr val="bg2">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CEE-4F25-892B-07E524DED516}"/>
              </c:ext>
            </c:extLst>
          </c:dPt>
          <c:dPt>
            <c:idx val="1"/>
            <c:bubble3D val="0"/>
            <c:spPr>
              <a:solidFill>
                <a:schemeClr val="bg2">
                  <a:lumMod val="2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CEE-4F25-892B-07E524DED516}"/>
              </c:ext>
            </c:extLst>
          </c:dPt>
          <c:dPt>
            <c:idx val="2"/>
            <c:bubble3D val="0"/>
            <c:spPr>
              <a:solidFill>
                <a:schemeClr val="bg1">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CEE-4F25-892B-07E524DED516}"/>
              </c:ext>
            </c:extLst>
          </c:dPt>
          <c:dPt>
            <c:idx val="3"/>
            <c:bubble3D val="0"/>
            <c:spPr>
              <a:solidFill>
                <a:schemeClr val="accent1">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CEE-4F25-892B-07E524DED51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PivotTable!$C$4:$C$8</c:f>
              <c:strCache>
                <c:ptCount val="4"/>
                <c:pt idx="0">
                  <c:v>2022</c:v>
                </c:pt>
                <c:pt idx="1">
                  <c:v>2023</c:v>
                </c:pt>
                <c:pt idx="2">
                  <c:v>2024</c:v>
                </c:pt>
                <c:pt idx="3">
                  <c:v>2025</c:v>
                </c:pt>
              </c:strCache>
            </c:strRef>
          </c:cat>
          <c:val>
            <c:numRef>
              <c:f>PivotTable!$D$4:$D$8</c:f>
              <c:numCache>
                <c:formatCode>_("$"* #,##0_);_("$"* \(#,##0\);_("$"* "-"??_);_(@_)</c:formatCode>
                <c:ptCount val="4"/>
                <c:pt idx="0">
                  <c:v>54635.72</c:v>
                </c:pt>
                <c:pt idx="1">
                  <c:v>75679.860000000015</c:v>
                </c:pt>
                <c:pt idx="2">
                  <c:v>70521.999999999985</c:v>
                </c:pt>
                <c:pt idx="3">
                  <c:v>79861.430000000022</c:v>
                </c:pt>
              </c:numCache>
            </c:numRef>
          </c:val>
          <c:extLst>
            <c:ext xmlns:c16="http://schemas.microsoft.com/office/drawing/2014/chart" uri="{C3380CC4-5D6E-409C-BE32-E72D297353CC}">
              <c16:uniqueId val="{00000009-C1BE-48E4-8163-0E03EC575DFA}"/>
            </c:ext>
          </c:extLst>
        </c:ser>
        <c:dLbls>
          <c:showLegendKey val="0"/>
          <c:showVal val="1"/>
          <c:showCatName val="0"/>
          <c:showSerName val="0"/>
          <c:showPercent val="0"/>
          <c:showBubbleSize val="0"/>
          <c:showLeaderLines val="1"/>
        </c:dLbls>
        <c:firstSliceAng val="0"/>
        <c:holeSize val="4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 and Sales Dashboard...xlsx]PivotTable!PivotTable8</c:name>
    <c:fmtId val="4"/>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600">
                <a:solidFill>
                  <a:schemeClr val="bg1"/>
                </a:solidFill>
              </a:rPr>
              <a:t>SALES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52432824981844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PivotTable!$G$3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80E-4AE3-A52A-039D210C86E1}"/>
              </c:ext>
            </c:extLst>
          </c:dPt>
          <c:dLbls>
            <c:dLbl>
              <c:idx val="0"/>
              <c:layout>
                <c:manualLayout>
                  <c:x val="-1.452432824981844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0E-4AE3-A52A-039D210C86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PivotTable!$F$4:$F$13</c:f>
              <c:strCache>
                <c:ptCount val="9"/>
                <c:pt idx="0">
                  <c:v>Laptops</c:v>
                </c:pt>
                <c:pt idx="1">
                  <c:v>Desks</c:v>
                </c:pt>
                <c:pt idx="2">
                  <c:v>Tables</c:v>
                </c:pt>
                <c:pt idx="3">
                  <c:v>Monitors</c:v>
                </c:pt>
                <c:pt idx="4">
                  <c:v>Chairs</c:v>
                </c:pt>
                <c:pt idx="5">
                  <c:v>Accessories</c:v>
                </c:pt>
                <c:pt idx="6">
                  <c:v>Storage</c:v>
                </c:pt>
                <c:pt idx="7">
                  <c:v>Paper</c:v>
                </c:pt>
                <c:pt idx="8">
                  <c:v>Binders</c:v>
                </c:pt>
              </c:strCache>
            </c:strRef>
          </c:cat>
          <c:val>
            <c:numRef>
              <c:f>PivotTable!$G$4:$G$13</c:f>
              <c:numCache>
                <c:formatCode>_("$"* #,##0_);_("$"* \(#,##0\);_("$"* "-"??_);_(@_)</c:formatCode>
                <c:ptCount val="9"/>
                <c:pt idx="0">
                  <c:v>586601.23000000021</c:v>
                </c:pt>
                <c:pt idx="1">
                  <c:v>271772.81999999995</c:v>
                </c:pt>
                <c:pt idx="2">
                  <c:v>222445.32000000007</c:v>
                </c:pt>
                <c:pt idx="3">
                  <c:v>137310.39000000007</c:v>
                </c:pt>
                <c:pt idx="4">
                  <c:v>126283.10999999999</c:v>
                </c:pt>
                <c:pt idx="5">
                  <c:v>95341.18</c:v>
                </c:pt>
                <c:pt idx="6">
                  <c:v>69884.23</c:v>
                </c:pt>
                <c:pt idx="7">
                  <c:v>44843.98000000001</c:v>
                </c:pt>
                <c:pt idx="8">
                  <c:v>26931.23</c:v>
                </c:pt>
              </c:numCache>
            </c:numRef>
          </c:val>
          <c:extLst>
            <c:ext xmlns:c16="http://schemas.microsoft.com/office/drawing/2014/chart" uri="{C3380CC4-5D6E-409C-BE32-E72D297353CC}">
              <c16:uniqueId val="{00000000-E80E-4AE3-A52A-039D210C86E1}"/>
            </c:ext>
          </c:extLst>
        </c:ser>
        <c:dLbls>
          <c:dLblPos val="outEnd"/>
          <c:showLegendKey val="0"/>
          <c:showVal val="1"/>
          <c:showCatName val="0"/>
          <c:showSerName val="0"/>
          <c:showPercent val="0"/>
          <c:showBubbleSize val="0"/>
        </c:dLbls>
        <c:gapWidth val="40"/>
        <c:overlap val="-20"/>
        <c:axId val="123372783"/>
        <c:axId val="123378063"/>
      </c:barChart>
      <c:catAx>
        <c:axId val="1233727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378063"/>
        <c:crosses val="autoZero"/>
        <c:auto val="1"/>
        <c:lblAlgn val="ctr"/>
        <c:lblOffset val="100"/>
        <c:noMultiLvlLbl val="0"/>
      </c:catAx>
      <c:valAx>
        <c:axId val="123378063"/>
        <c:scaling>
          <c:orientation val="minMax"/>
        </c:scaling>
        <c:delete val="1"/>
        <c:axPos val="b"/>
        <c:numFmt formatCode="_(&quot;$&quot;* #,##0_);_(&quot;$&quot;* \(#,##0\);_(&quot;$&quot;* &quot;-&quot;??_);_(@_)" sourceLinked="1"/>
        <c:majorTickMark val="none"/>
        <c:minorTickMark val="none"/>
        <c:tickLblPos val="nextTo"/>
        <c:crossAx val="12337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 and Sales Dashboard...xlsx]PivotTable!PivotTable10</c:name>
    <c:fmtId val="3"/>
  </c:pivotSource>
  <c:chart>
    <c:title>
      <c:tx>
        <c:rich>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r>
              <a:rPr lang="en-US" sz="1600"/>
              <a:t>TOP 5 CUSTOMERS</a:t>
            </a:r>
          </a:p>
        </c:rich>
      </c:tx>
      <c:overlay val="0"/>
      <c:spPr>
        <a:noFill/>
        <a:ln>
          <a:noFill/>
        </a:ln>
        <a:effectLst/>
      </c:spPr>
      <c:txPr>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PivotTable!$M$3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PivotTable!$L$4:$L$9</c:f>
              <c:strCache>
                <c:ptCount val="5"/>
                <c:pt idx="0">
                  <c:v>Silverline Services</c:v>
                </c:pt>
                <c:pt idx="1">
                  <c:v>Liberty Health Supply</c:v>
                </c:pt>
                <c:pt idx="2">
                  <c:v>BrightPath Schools</c:v>
                </c:pt>
                <c:pt idx="3">
                  <c:v>Urban Peak Market</c:v>
                </c:pt>
                <c:pt idx="4">
                  <c:v>Lakeside Commerce</c:v>
                </c:pt>
              </c:strCache>
            </c:strRef>
          </c:cat>
          <c:val>
            <c:numRef>
              <c:f>PivotTable!$M$4:$M$9</c:f>
              <c:numCache>
                <c:formatCode>_("$"* #,##0_);_("$"* \(#,##0\);_("$"* "-"??_);_(@_)</c:formatCode>
                <c:ptCount val="5"/>
                <c:pt idx="0">
                  <c:v>23293.139999999996</c:v>
                </c:pt>
                <c:pt idx="1">
                  <c:v>18294.579999999994</c:v>
                </c:pt>
                <c:pt idx="2">
                  <c:v>17293.280000000002</c:v>
                </c:pt>
                <c:pt idx="3">
                  <c:v>17161.929999999997</c:v>
                </c:pt>
                <c:pt idx="4">
                  <c:v>16692.84</c:v>
                </c:pt>
              </c:numCache>
            </c:numRef>
          </c:val>
          <c:smooth val="0"/>
          <c:extLst>
            <c:ext xmlns:c16="http://schemas.microsoft.com/office/drawing/2014/chart" uri="{C3380CC4-5D6E-409C-BE32-E72D297353CC}">
              <c16:uniqueId val="{00000000-8CC6-4D28-9A87-DA34E22142BC}"/>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89408127"/>
        <c:axId val="389414367"/>
      </c:lineChart>
      <c:catAx>
        <c:axId val="38940812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89414367"/>
        <c:crosses val="autoZero"/>
        <c:auto val="1"/>
        <c:lblAlgn val="ctr"/>
        <c:lblOffset val="100"/>
        <c:noMultiLvlLbl val="0"/>
      </c:catAx>
      <c:valAx>
        <c:axId val="389414367"/>
        <c:scaling>
          <c:orientation val="minMax"/>
        </c:scaling>
        <c:delete val="1"/>
        <c:axPos val="l"/>
        <c:numFmt formatCode="_(&quot;$&quot;* #,##0_);_(&quot;$&quot;* \(#,##0\);_(&quot;$&quot;* &quot;-&quot;??_);_(@_)" sourceLinked="1"/>
        <c:majorTickMark val="none"/>
        <c:minorTickMark val="none"/>
        <c:tickLblPos val="nextTo"/>
        <c:crossAx val="38940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 and Sales Dashboard...xlsx]PivotTable!PivotTable11</c:name>
    <c:fmtId val="3"/>
  </c:pivotSource>
  <c:chart>
    <c:title>
      <c:tx>
        <c:rich>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r>
              <a:rPr lang="en-US" sz="1600">
                <a:solidFill>
                  <a:schemeClr val="bg1"/>
                </a:solidFill>
              </a:rPr>
              <a:t>SALES BY MONTH</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clustered"/>
        <c:varyColors val="0"/>
        <c:ser>
          <c:idx val="0"/>
          <c:order val="0"/>
          <c:tx>
            <c:strRef>
              <c:f>PivotTable!$P$3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PivotTable!$P$4:$P$16</c:f>
              <c:numCache>
                <c:formatCode>_("$"* #,##0_);_("$"* \(#,##0\);_("$"* "-"??_);_(@_)</c:formatCode>
                <c:ptCount val="12"/>
                <c:pt idx="0">
                  <c:v>99965.999999999971</c:v>
                </c:pt>
                <c:pt idx="1">
                  <c:v>136819.93</c:v>
                </c:pt>
                <c:pt idx="2">
                  <c:v>91339.38</c:v>
                </c:pt>
                <c:pt idx="3">
                  <c:v>111875.24999999996</c:v>
                </c:pt>
                <c:pt idx="4">
                  <c:v>147274.65</c:v>
                </c:pt>
                <c:pt idx="5">
                  <c:v>144543.22</c:v>
                </c:pt>
                <c:pt idx="6">
                  <c:v>140822</c:v>
                </c:pt>
                <c:pt idx="7">
                  <c:v>98578.01999999999</c:v>
                </c:pt>
                <c:pt idx="8">
                  <c:v>163580.94</c:v>
                </c:pt>
                <c:pt idx="9">
                  <c:v>136605.73999999996</c:v>
                </c:pt>
                <c:pt idx="10">
                  <c:v>183009.59000000003</c:v>
                </c:pt>
                <c:pt idx="11">
                  <c:v>126998.77</c:v>
                </c:pt>
              </c:numCache>
            </c:numRef>
          </c:val>
          <c:extLst>
            <c:ext xmlns:c16="http://schemas.microsoft.com/office/drawing/2014/chart" uri="{C3380CC4-5D6E-409C-BE32-E72D297353CC}">
              <c16:uniqueId val="{00000000-8431-49BB-AF03-3A1F39EE33BD}"/>
            </c:ext>
          </c:extLst>
        </c:ser>
        <c:dLbls>
          <c:dLblPos val="outEnd"/>
          <c:showLegendKey val="0"/>
          <c:showVal val="1"/>
          <c:showCatName val="0"/>
          <c:showSerName val="0"/>
          <c:showPercent val="0"/>
          <c:showBubbleSize val="0"/>
        </c:dLbls>
        <c:gapWidth val="50"/>
        <c:overlap val="-90"/>
        <c:axId val="460463391"/>
        <c:axId val="460460511"/>
      </c:barChart>
      <c:catAx>
        <c:axId val="46046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460460511"/>
        <c:crosses val="autoZero"/>
        <c:auto val="1"/>
        <c:lblAlgn val="ctr"/>
        <c:lblOffset val="100"/>
        <c:noMultiLvlLbl val="0"/>
      </c:catAx>
      <c:valAx>
        <c:axId val="460460511"/>
        <c:scaling>
          <c:orientation val="minMax"/>
        </c:scaling>
        <c:delete val="1"/>
        <c:axPos val="l"/>
        <c:numFmt formatCode="_(&quot;$&quot;* #,##0_);_(&quot;$&quot;* \(#,##0\);_(&quot;$&quot;* &quot;-&quot;??_);_(@_)" sourceLinked="1"/>
        <c:majorTickMark val="none"/>
        <c:minorTickMark val="none"/>
        <c:tickLblPos val="nextTo"/>
        <c:crossAx val="46046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1600">
              <a:solidFill>
                <a:schemeClr val="bg1"/>
              </a:solidFill>
            </a:defRPr>
          </a:pPr>
          <a:r>
            <a:rPr lang="en-US" sz="1600" b="1" i="0" u="none" strike="noStrike" baseline="0">
              <a:solidFill>
                <a:schemeClr val="bg1"/>
              </a:solidFill>
              <a:latin typeface="Aptos Narrow" panose="02110004020202020204"/>
            </a:rPr>
            <a:t>SALES BY STATE</a:t>
          </a:r>
        </a:p>
      </cx:txPr>
    </cx:title>
    <cx:plotArea>
      <cx:plotAreaRegion>
        <cx:series layoutId="funnel" uniqueId="{D0B08750-40AB-4FF0-8B61-41FB3D66B193}">
          <cx:tx>
            <cx:txData>
              <cx:f>_xlchart.v2.1</cx:f>
              <cx:v>Sales</cx:v>
            </cx:txData>
          </cx:tx>
          <cx:dataLabels>
            <cx:visibility seriesName="0" categoryName="0" value="1"/>
          </cx:dataLabels>
          <cx:dataId val="0"/>
        </cx:series>
      </cx:plotAreaRegion>
      <cx:axis id="0">
        <cx:catScaling gapWidth="0.200000003"/>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plotArea>
  </cx:chart>
  <cx:spPr>
    <a:solidFill>
      <a:schemeClr val="tx1">
        <a:lumMod val="95000"/>
        <a:lumOff val="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PivotTable!A1"/></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chart" Target="../charts/chart4.xml"/><Relationship Id="rId3" Type="http://schemas.openxmlformats.org/officeDocument/2006/relationships/image" Target="../media/image5.png"/><Relationship Id="rId7" Type="http://schemas.openxmlformats.org/officeDocument/2006/relationships/image" Target="../media/image9.png"/><Relationship Id="rId12" Type="http://schemas.microsoft.com/office/2014/relationships/chartEx" Target="../charts/chartEx1.xml"/><Relationship Id="rId17" Type="http://schemas.openxmlformats.org/officeDocument/2006/relationships/image" Target="../media/image12.svg"/><Relationship Id="rId2" Type="http://schemas.openxmlformats.org/officeDocument/2006/relationships/image" Target="../media/image4.svg"/><Relationship Id="rId16" Type="http://schemas.openxmlformats.org/officeDocument/2006/relationships/image" Target="../media/image11.png"/><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chart" Target="../charts/chart3.xml"/><Relationship Id="rId5" Type="http://schemas.openxmlformats.org/officeDocument/2006/relationships/image" Target="../media/image7.png"/><Relationship Id="rId15" Type="http://schemas.openxmlformats.org/officeDocument/2006/relationships/hyperlink" Target="#Data!A1"/><Relationship Id="rId10" Type="http://schemas.openxmlformats.org/officeDocument/2006/relationships/chart" Target="../charts/chart2.xml"/><Relationship Id="rId4" Type="http://schemas.openxmlformats.org/officeDocument/2006/relationships/image" Target="../media/image6.svg"/><Relationship Id="rId9" Type="http://schemas.openxmlformats.org/officeDocument/2006/relationships/chart" Target="../charts/chart1.xml"/><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15</xdr:col>
      <xdr:colOff>95250</xdr:colOff>
      <xdr:row>0</xdr:row>
      <xdr:rowOff>1</xdr:rowOff>
    </xdr:from>
    <xdr:to>
      <xdr:col>15</xdr:col>
      <xdr:colOff>561976</xdr:colOff>
      <xdr:row>1</xdr:row>
      <xdr:rowOff>57150</xdr:rowOff>
    </xdr:to>
    <xdr:pic>
      <xdr:nvPicPr>
        <xdr:cNvPr id="3" name="Graphic 2" descr="Chevron arrows with solid fill">
          <a:hlinkClick xmlns:r="http://schemas.openxmlformats.org/officeDocument/2006/relationships" r:id="rId1"/>
          <a:extLst>
            <a:ext uri="{FF2B5EF4-FFF2-40B4-BE49-F238E27FC236}">
              <a16:creationId xmlns:a16="http://schemas.microsoft.com/office/drawing/2014/main" id="{61CB41BA-1768-B83A-3F34-C3FD9A5BF7A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716125" y="1"/>
          <a:ext cx="466726" cy="323849"/>
        </a:xfrm>
        <a:prstGeom prst="rect">
          <a:avLst/>
        </a:prstGeom>
      </xdr:spPr>
    </xdr:pic>
    <xdr:clientData/>
  </xdr:twoCellAnchor>
  <xdr:twoCellAnchor>
    <xdr:from>
      <xdr:col>14</xdr:col>
      <xdr:colOff>14287</xdr:colOff>
      <xdr:row>0</xdr:row>
      <xdr:rowOff>0</xdr:rowOff>
    </xdr:from>
    <xdr:to>
      <xdr:col>15</xdr:col>
      <xdr:colOff>152400</xdr:colOff>
      <xdr:row>1</xdr:row>
      <xdr:rowOff>57150</xdr:rowOff>
    </xdr:to>
    <xdr:sp macro="" textlink="">
      <xdr:nvSpPr>
        <xdr:cNvPr id="4" name="TextBox 3">
          <a:extLst>
            <a:ext uri="{FF2B5EF4-FFF2-40B4-BE49-F238E27FC236}">
              <a16:creationId xmlns:a16="http://schemas.microsoft.com/office/drawing/2014/main" id="{4E3F07E6-7C61-54E2-3D8B-90449EE515FE}"/>
            </a:ext>
          </a:extLst>
        </xdr:cNvPr>
        <xdr:cNvSpPr txBox="1"/>
      </xdr:nvSpPr>
      <xdr:spPr>
        <a:xfrm>
          <a:off x="13758862" y="0"/>
          <a:ext cx="1014413" cy="32385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PivotTable</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119063</xdr:colOff>
      <xdr:row>2</xdr:row>
      <xdr:rowOff>1</xdr:rowOff>
    </xdr:from>
    <xdr:to>
      <xdr:col>17</xdr:col>
      <xdr:colOff>585789</xdr:colOff>
      <xdr:row>3</xdr:row>
      <xdr:rowOff>57150</xdr:rowOff>
    </xdr:to>
    <xdr:pic>
      <xdr:nvPicPr>
        <xdr:cNvPr id="5" name="Graphic 4" descr="Chevron arrows with solid fill">
          <a:hlinkClick xmlns:r="http://schemas.openxmlformats.org/officeDocument/2006/relationships" r:id="rId1"/>
          <a:extLst>
            <a:ext uri="{FF2B5EF4-FFF2-40B4-BE49-F238E27FC236}">
              <a16:creationId xmlns:a16="http://schemas.microsoft.com/office/drawing/2014/main" id="{B40B1F22-D8B4-4A7E-BE23-5F8B431ED5B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959138" y="533401"/>
          <a:ext cx="466726" cy="323849"/>
        </a:xfrm>
        <a:prstGeom prst="rect">
          <a:avLst/>
        </a:prstGeom>
      </xdr:spPr>
    </xdr:pic>
    <xdr:clientData/>
  </xdr:twoCellAnchor>
  <xdr:twoCellAnchor>
    <xdr:from>
      <xdr:col>16</xdr:col>
      <xdr:colOff>76200</xdr:colOff>
      <xdr:row>1</xdr:row>
      <xdr:rowOff>238125</xdr:rowOff>
    </xdr:from>
    <xdr:to>
      <xdr:col>17</xdr:col>
      <xdr:colOff>142875</xdr:colOff>
      <xdr:row>3</xdr:row>
      <xdr:rowOff>28575</xdr:rowOff>
    </xdr:to>
    <xdr:sp macro="" textlink="">
      <xdr:nvSpPr>
        <xdr:cNvPr id="8" name="TextBox 7">
          <a:extLst>
            <a:ext uri="{FF2B5EF4-FFF2-40B4-BE49-F238E27FC236}">
              <a16:creationId xmlns:a16="http://schemas.microsoft.com/office/drawing/2014/main" id="{770779B3-49AE-4BD2-8AA6-FF728CCAAE12}"/>
            </a:ext>
          </a:extLst>
        </xdr:cNvPr>
        <xdr:cNvSpPr txBox="1"/>
      </xdr:nvSpPr>
      <xdr:spPr>
        <a:xfrm>
          <a:off x="15078075" y="504825"/>
          <a:ext cx="904875" cy="32385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7620</xdr:colOff>
      <xdr:row>0</xdr:row>
      <xdr:rowOff>0</xdr:rowOff>
    </xdr:from>
    <xdr:to>
      <xdr:col>14</xdr:col>
      <xdr:colOff>0</xdr:colOff>
      <xdr:row>23</xdr:row>
      <xdr:rowOff>19050</xdr:rowOff>
    </xdr:to>
    <xdr:sp macro="" textlink="">
      <xdr:nvSpPr>
        <xdr:cNvPr id="11" name="Rectangle 10">
          <a:extLst>
            <a:ext uri="{FF2B5EF4-FFF2-40B4-BE49-F238E27FC236}">
              <a16:creationId xmlns:a16="http://schemas.microsoft.com/office/drawing/2014/main" id="{C2F6768F-8AD3-446F-88F3-AE90D2772C21}"/>
            </a:ext>
          </a:extLst>
        </xdr:cNvPr>
        <xdr:cNvSpPr/>
      </xdr:nvSpPr>
      <xdr:spPr>
        <a:xfrm>
          <a:off x="7620" y="0"/>
          <a:ext cx="10888980" cy="6153150"/>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769620</xdr:colOff>
      <xdr:row>0</xdr:row>
      <xdr:rowOff>0</xdr:rowOff>
    </xdr:from>
    <xdr:to>
      <xdr:col>14</xdr:col>
      <xdr:colOff>0</xdr:colOff>
      <xdr:row>2</xdr:row>
      <xdr:rowOff>259080</xdr:rowOff>
    </xdr:to>
    <xdr:sp macro="" textlink="">
      <xdr:nvSpPr>
        <xdr:cNvPr id="12" name="Rectangle: Rounded Corners 11">
          <a:extLst>
            <a:ext uri="{FF2B5EF4-FFF2-40B4-BE49-F238E27FC236}">
              <a16:creationId xmlns:a16="http://schemas.microsoft.com/office/drawing/2014/main" id="{886395DC-BD6C-466F-B028-1C245BDFCE18}"/>
            </a:ext>
          </a:extLst>
        </xdr:cNvPr>
        <xdr:cNvSpPr/>
      </xdr:nvSpPr>
      <xdr:spPr>
        <a:xfrm>
          <a:off x="1684020" y="0"/>
          <a:ext cx="10203180" cy="79248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t>SALES</a:t>
          </a:r>
          <a:r>
            <a:rPr lang="en-US" sz="3200" b="1" baseline="0"/>
            <a:t> AND PROFIT DASHBOARD</a:t>
          </a:r>
          <a:endParaRPr lang="en-US" sz="3200" b="1"/>
        </a:p>
      </xdr:txBody>
    </xdr:sp>
    <xdr:clientData/>
  </xdr:twoCellAnchor>
  <xdr:twoCellAnchor>
    <xdr:from>
      <xdr:col>1</xdr:col>
      <xdr:colOff>0</xdr:colOff>
      <xdr:row>3</xdr:row>
      <xdr:rowOff>22860</xdr:rowOff>
    </xdr:from>
    <xdr:to>
      <xdr:col>2</xdr:col>
      <xdr:colOff>708660</xdr:colOff>
      <xdr:row>21</xdr:row>
      <xdr:rowOff>152400</xdr:rowOff>
    </xdr:to>
    <xdr:sp macro="" textlink="">
      <xdr:nvSpPr>
        <xdr:cNvPr id="13" name="Rectangle: Rounded Corners 12">
          <a:extLst>
            <a:ext uri="{FF2B5EF4-FFF2-40B4-BE49-F238E27FC236}">
              <a16:creationId xmlns:a16="http://schemas.microsoft.com/office/drawing/2014/main" id="{F1358C3E-E3EB-4CB1-B7C0-27018B4DF76F}"/>
            </a:ext>
          </a:extLst>
        </xdr:cNvPr>
        <xdr:cNvSpPr/>
      </xdr:nvSpPr>
      <xdr:spPr>
        <a:xfrm>
          <a:off x="0" y="822960"/>
          <a:ext cx="1623060" cy="493014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800100</xdr:colOff>
      <xdr:row>3</xdr:row>
      <xdr:rowOff>71120</xdr:rowOff>
    </xdr:from>
    <xdr:to>
      <xdr:col>5</xdr:col>
      <xdr:colOff>304800</xdr:colOff>
      <xdr:row>5</xdr:row>
      <xdr:rowOff>200660</xdr:rowOff>
    </xdr:to>
    <xdr:sp macro="" textlink="">
      <xdr:nvSpPr>
        <xdr:cNvPr id="14" name="Rectangle: Rounded Corners 13">
          <a:extLst>
            <a:ext uri="{FF2B5EF4-FFF2-40B4-BE49-F238E27FC236}">
              <a16:creationId xmlns:a16="http://schemas.microsoft.com/office/drawing/2014/main" id="{1BD5D8F5-BAF7-43B5-9559-BC0C520CBF93}"/>
            </a:ext>
          </a:extLst>
        </xdr:cNvPr>
        <xdr:cNvSpPr/>
      </xdr:nvSpPr>
      <xdr:spPr>
        <a:xfrm>
          <a:off x="1714500" y="871220"/>
          <a:ext cx="2247900" cy="66294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594360</xdr:colOff>
      <xdr:row>3</xdr:row>
      <xdr:rowOff>53340</xdr:rowOff>
    </xdr:from>
    <xdr:to>
      <xdr:col>14</xdr:col>
      <xdr:colOff>0</xdr:colOff>
      <xdr:row>14</xdr:row>
      <xdr:rowOff>137160</xdr:rowOff>
    </xdr:to>
    <xdr:sp macro="" textlink="">
      <xdr:nvSpPr>
        <xdr:cNvPr id="15" name="Rectangle: Rounded Corners 14">
          <a:extLst>
            <a:ext uri="{FF2B5EF4-FFF2-40B4-BE49-F238E27FC236}">
              <a16:creationId xmlns:a16="http://schemas.microsoft.com/office/drawing/2014/main" id="{58DE2C3B-3BE8-4E17-B317-256F16F71890}"/>
            </a:ext>
          </a:extLst>
        </xdr:cNvPr>
        <xdr:cNvSpPr/>
      </xdr:nvSpPr>
      <xdr:spPr>
        <a:xfrm>
          <a:off x="8823960" y="853440"/>
          <a:ext cx="3063240" cy="301752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793907</xdr:colOff>
      <xdr:row>5</xdr:row>
      <xdr:rowOff>264160</xdr:rowOff>
    </xdr:from>
    <xdr:to>
      <xdr:col>6</xdr:col>
      <xdr:colOff>559418</xdr:colOff>
      <xdr:row>14</xdr:row>
      <xdr:rowOff>121920</xdr:rowOff>
    </xdr:to>
    <xdr:sp macro="" textlink="">
      <xdr:nvSpPr>
        <xdr:cNvPr id="16" name="Rectangle: Rounded Corners 15">
          <a:extLst>
            <a:ext uri="{FF2B5EF4-FFF2-40B4-BE49-F238E27FC236}">
              <a16:creationId xmlns:a16="http://schemas.microsoft.com/office/drawing/2014/main" id="{C0EA0967-0C70-4798-B3CD-CA16D31F1AC5}"/>
            </a:ext>
          </a:extLst>
        </xdr:cNvPr>
        <xdr:cNvSpPr/>
      </xdr:nvSpPr>
      <xdr:spPr>
        <a:xfrm>
          <a:off x="1708307" y="1597660"/>
          <a:ext cx="3423111" cy="225806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662940</xdr:colOff>
      <xdr:row>5</xdr:row>
      <xdr:rowOff>256540</xdr:rowOff>
    </xdr:from>
    <xdr:to>
      <xdr:col>10</xdr:col>
      <xdr:colOff>510540</xdr:colOff>
      <xdr:row>14</xdr:row>
      <xdr:rowOff>114300</xdr:rowOff>
    </xdr:to>
    <xdr:sp macro="" textlink="">
      <xdr:nvSpPr>
        <xdr:cNvPr id="17" name="Rectangle: Rounded Corners 16">
          <a:extLst>
            <a:ext uri="{FF2B5EF4-FFF2-40B4-BE49-F238E27FC236}">
              <a16:creationId xmlns:a16="http://schemas.microsoft.com/office/drawing/2014/main" id="{376BC158-49E7-44F4-8BA1-4E4ACDBB8BA7}"/>
            </a:ext>
          </a:extLst>
        </xdr:cNvPr>
        <xdr:cNvSpPr/>
      </xdr:nvSpPr>
      <xdr:spPr>
        <a:xfrm>
          <a:off x="5234940" y="1590040"/>
          <a:ext cx="3505200" cy="225806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426720</xdr:colOff>
      <xdr:row>14</xdr:row>
      <xdr:rowOff>220980</xdr:rowOff>
    </xdr:from>
    <xdr:to>
      <xdr:col>14</xdr:col>
      <xdr:colOff>0</xdr:colOff>
      <xdr:row>21</xdr:row>
      <xdr:rowOff>228600</xdr:rowOff>
    </xdr:to>
    <xdr:sp macro="" textlink="">
      <xdr:nvSpPr>
        <xdr:cNvPr id="18" name="Rectangle: Rounded Corners 17">
          <a:extLst>
            <a:ext uri="{FF2B5EF4-FFF2-40B4-BE49-F238E27FC236}">
              <a16:creationId xmlns:a16="http://schemas.microsoft.com/office/drawing/2014/main" id="{5FE705DD-580F-4AFE-A071-107F5908783C}"/>
            </a:ext>
          </a:extLst>
        </xdr:cNvPr>
        <xdr:cNvSpPr/>
      </xdr:nvSpPr>
      <xdr:spPr>
        <a:xfrm>
          <a:off x="6827520" y="3954780"/>
          <a:ext cx="5059680" cy="187452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0</xdr:row>
      <xdr:rowOff>0</xdr:rowOff>
    </xdr:from>
    <xdr:to>
      <xdr:col>2</xdr:col>
      <xdr:colOff>662940</xdr:colOff>
      <xdr:row>2</xdr:row>
      <xdr:rowOff>243840</xdr:rowOff>
    </xdr:to>
    <xdr:sp macro="" textlink="">
      <xdr:nvSpPr>
        <xdr:cNvPr id="20" name="Rectangle: Rounded Corners 19">
          <a:extLst>
            <a:ext uri="{FF2B5EF4-FFF2-40B4-BE49-F238E27FC236}">
              <a16:creationId xmlns:a16="http://schemas.microsoft.com/office/drawing/2014/main" id="{F3143BA6-0ADD-4105-A44C-E45DB0D520DB}"/>
            </a:ext>
          </a:extLst>
        </xdr:cNvPr>
        <xdr:cNvSpPr/>
      </xdr:nvSpPr>
      <xdr:spPr>
        <a:xfrm>
          <a:off x="0" y="0"/>
          <a:ext cx="1577340" cy="77724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200" b="1"/>
        </a:p>
      </xdr:txBody>
    </xdr:sp>
    <xdr:clientData/>
  </xdr:twoCellAnchor>
  <xdr:twoCellAnchor editAs="oneCell">
    <xdr:from>
      <xdr:col>1</xdr:col>
      <xdr:colOff>342900</xdr:colOff>
      <xdr:row>0</xdr:row>
      <xdr:rowOff>0</xdr:rowOff>
    </xdr:from>
    <xdr:to>
      <xdr:col>2</xdr:col>
      <xdr:colOff>236220</xdr:colOff>
      <xdr:row>3</xdr:row>
      <xdr:rowOff>7620</xdr:rowOff>
    </xdr:to>
    <xdr:pic>
      <xdr:nvPicPr>
        <xdr:cNvPr id="21" name="Graphic 20" descr="Bar graph with upward trend with solid fill">
          <a:extLst>
            <a:ext uri="{FF2B5EF4-FFF2-40B4-BE49-F238E27FC236}">
              <a16:creationId xmlns:a16="http://schemas.microsoft.com/office/drawing/2014/main" id="{75056378-012F-408C-ACE6-A9E23F168B4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2900" y="0"/>
          <a:ext cx="807720" cy="807720"/>
        </a:xfrm>
        <a:prstGeom prst="rect">
          <a:avLst/>
        </a:prstGeom>
      </xdr:spPr>
    </xdr:pic>
    <xdr:clientData/>
  </xdr:twoCellAnchor>
  <xdr:twoCellAnchor>
    <xdr:from>
      <xdr:col>5</xdr:col>
      <xdr:colOff>419100</xdr:colOff>
      <xdr:row>3</xdr:row>
      <xdr:rowOff>71120</xdr:rowOff>
    </xdr:from>
    <xdr:to>
      <xdr:col>7</xdr:col>
      <xdr:colOff>838200</xdr:colOff>
      <xdr:row>5</xdr:row>
      <xdr:rowOff>200660</xdr:rowOff>
    </xdr:to>
    <xdr:sp macro="" textlink="">
      <xdr:nvSpPr>
        <xdr:cNvPr id="23" name="Rectangle: Rounded Corners 22">
          <a:extLst>
            <a:ext uri="{FF2B5EF4-FFF2-40B4-BE49-F238E27FC236}">
              <a16:creationId xmlns:a16="http://schemas.microsoft.com/office/drawing/2014/main" id="{77695A39-2369-4EE6-89DF-02C96DDEFED7}"/>
            </a:ext>
          </a:extLst>
        </xdr:cNvPr>
        <xdr:cNvSpPr/>
      </xdr:nvSpPr>
      <xdr:spPr>
        <a:xfrm>
          <a:off x="4076700" y="871220"/>
          <a:ext cx="2247900" cy="66294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60960</xdr:colOff>
      <xdr:row>3</xdr:row>
      <xdr:rowOff>71120</xdr:rowOff>
    </xdr:from>
    <xdr:to>
      <xdr:col>10</xdr:col>
      <xdr:colOff>480060</xdr:colOff>
      <xdr:row>5</xdr:row>
      <xdr:rowOff>200660</xdr:rowOff>
    </xdr:to>
    <xdr:sp macro="" textlink="">
      <xdr:nvSpPr>
        <xdr:cNvPr id="26" name="Rectangle: Rounded Corners 25">
          <a:extLst>
            <a:ext uri="{FF2B5EF4-FFF2-40B4-BE49-F238E27FC236}">
              <a16:creationId xmlns:a16="http://schemas.microsoft.com/office/drawing/2014/main" id="{11CDFCA6-B605-4407-A8C8-12F0C61D95FB}"/>
            </a:ext>
          </a:extLst>
        </xdr:cNvPr>
        <xdr:cNvSpPr/>
      </xdr:nvSpPr>
      <xdr:spPr>
        <a:xfrm>
          <a:off x="6461760" y="871220"/>
          <a:ext cx="2247900" cy="66294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800100</xdr:colOff>
      <xdr:row>14</xdr:row>
      <xdr:rowOff>213360</xdr:rowOff>
    </xdr:from>
    <xdr:to>
      <xdr:col>8</xdr:col>
      <xdr:colOff>312420</xdr:colOff>
      <xdr:row>21</xdr:row>
      <xdr:rowOff>220980</xdr:rowOff>
    </xdr:to>
    <xdr:sp macro="" textlink="">
      <xdr:nvSpPr>
        <xdr:cNvPr id="32" name="Rectangle: Rounded Corners 31">
          <a:extLst>
            <a:ext uri="{FF2B5EF4-FFF2-40B4-BE49-F238E27FC236}">
              <a16:creationId xmlns:a16="http://schemas.microsoft.com/office/drawing/2014/main" id="{4AD4E9FB-C847-4518-B308-6D35CAD278A3}"/>
            </a:ext>
          </a:extLst>
        </xdr:cNvPr>
        <xdr:cNvSpPr/>
      </xdr:nvSpPr>
      <xdr:spPr>
        <a:xfrm>
          <a:off x="1714500" y="3947160"/>
          <a:ext cx="4998720" cy="187452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350520</xdr:colOff>
      <xdr:row>3</xdr:row>
      <xdr:rowOff>99060</xdr:rowOff>
    </xdr:from>
    <xdr:to>
      <xdr:col>4</xdr:col>
      <xdr:colOff>754380</xdr:colOff>
      <xdr:row>4</xdr:row>
      <xdr:rowOff>53340</xdr:rowOff>
    </xdr:to>
    <xdr:sp macro="" textlink="">
      <xdr:nvSpPr>
        <xdr:cNvPr id="41" name="TextBox 40">
          <a:extLst>
            <a:ext uri="{FF2B5EF4-FFF2-40B4-BE49-F238E27FC236}">
              <a16:creationId xmlns:a16="http://schemas.microsoft.com/office/drawing/2014/main" id="{DC602106-3FEE-BAB1-38F8-026B6692E3B3}"/>
            </a:ext>
          </a:extLst>
        </xdr:cNvPr>
        <xdr:cNvSpPr txBox="1"/>
      </xdr:nvSpPr>
      <xdr:spPr>
        <a:xfrm>
          <a:off x="2179320" y="899160"/>
          <a:ext cx="13182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Total</a:t>
          </a:r>
          <a:r>
            <a:rPr lang="en-US" sz="1400" b="1" baseline="0">
              <a:solidFill>
                <a:schemeClr val="bg1"/>
              </a:solidFill>
            </a:rPr>
            <a:t> Sales</a:t>
          </a:r>
          <a:endParaRPr lang="en-US" sz="1400" b="1">
            <a:solidFill>
              <a:schemeClr val="bg1"/>
            </a:solidFill>
          </a:endParaRPr>
        </a:p>
      </xdr:txBody>
    </xdr:sp>
    <xdr:clientData/>
  </xdr:twoCellAnchor>
  <xdr:twoCellAnchor>
    <xdr:from>
      <xdr:col>3</xdr:col>
      <xdr:colOff>350520</xdr:colOff>
      <xdr:row>4</xdr:row>
      <xdr:rowOff>137160</xdr:rowOff>
    </xdr:from>
    <xdr:to>
      <xdr:col>4</xdr:col>
      <xdr:colOff>754380</xdr:colOff>
      <xdr:row>5</xdr:row>
      <xdr:rowOff>91440</xdr:rowOff>
    </xdr:to>
    <xdr:sp macro="" textlink="PivotTable!B11">
      <xdr:nvSpPr>
        <xdr:cNvPr id="42" name="TextBox 41">
          <a:extLst>
            <a:ext uri="{FF2B5EF4-FFF2-40B4-BE49-F238E27FC236}">
              <a16:creationId xmlns:a16="http://schemas.microsoft.com/office/drawing/2014/main" id="{C7B02F76-3AB5-D09D-A096-9F310AA59895}"/>
            </a:ext>
          </a:extLst>
        </xdr:cNvPr>
        <xdr:cNvSpPr txBox="1"/>
      </xdr:nvSpPr>
      <xdr:spPr>
        <a:xfrm>
          <a:off x="2179320" y="1203960"/>
          <a:ext cx="13182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94C6BE-96E8-4E26-B872-357B779E0953}" type="TxLink">
            <a:rPr lang="en-US" sz="1800" b="1" i="0" u="none" strike="noStrike">
              <a:solidFill>
                <a:schemeClr val="bg1"/>
              </a:solidFill>
              <a:latin typeface="Lora Medium"/>
            </a:rPr>
            <a:pPr algn="ctr"/>
            <a:t> $1,581,413 </a:t>
          </a:fld>
          <a:endParaRPr lang="en-US" sz="1800" b="1">
            <a:solidFill>
              <a:schemeClr val="bg1"/>
            </a:solidFill>
          </a:endParaRPr>
        </a:p>
      </xdr:txBody>
    </xdr:sp>
    <xdr:clientData/>
  </xdr:twoCellAnchor>
  <xdr:twoCellAnchor>
    <xdr:from>
      <xdr:col>6</xdr:col>
      <xdr:colOff>15240</xdr:colOff>
      <xdr:row>3</xdr:row>
      <xdr:rowOff>114300</xdr:rowOff>
    </xdr:from>
    <xdr:to>
      <xdr:col>7</xdr:col>
      <xdr:colOff>419100</xdr:colOff>
      <xdr:row>4</xdr:row>
      <xdr:rowOff>68580</xdr:rowOff>
    </xdr:to>
    <xdr:sp macro="" textlink="">
      <xdr:nvSpPr>
        <xdr:cNvPr id="43" name="TextBox 42">
          <a:extLst>
            <a:ext uri="{FF2B5EF4-FFF2-40B4-BE49-F238E27FC236}">
              <a16:creationId xmlns:a16="http://schemas.microsoft.com/office/drawing/2014/main" id="{48AF032B-8A89-0533-F7CE-6178757EC3D4}"/>
            </a:ext>
          </a:extLst>
        </xdr:cNvPr>
        <xdr:cNvSpPr txBox="1"/>
      </xdr:nvSpPr>
      <xdr:spPr>
        <a:xfrm>
          <a:off x="4587240" y="914400"/>
          <a:ext cx="13182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Total</a:t>
          </a:r>
          <a:r>
            <a:rPr lang="en-US" sz="1400" b="1" baseline="0">
              <a:solidFill>
                <a:schemeClr val="bg1"/>
              </a:solidFill>
            </a:rPr>
            <a:t> Profit</a:t>
          </a:r>
          <a:endParaRPr lang="en-US" sz="1400" b="1">
            <a:solidFill>
              <a:schemeClr val="bg1"/>
            </a:solidFill>
          </a:endParaRPr>
        </a:p>
      </xdr:txBody>
    </xdr:sp>
    <xdr:clientData/>
  </xdr:twoCellAnchor>
  <xdr:twoCellAnchor>
    <xdr:from>
      <xdr:col>6</xdr:col>
      <xdr:colOff>7620</xdr:colOff>
      <xdr:row>4</xdr:row>
      <xdr:rowOff>152400</xdr:rowOff>
    </xdr:from>
    <xdr:to>
      <xdr:col>7</xdr:col>
      <xdr:colOff>411480</xdr:colOff>
      <xdr:row>5</xdr:row>
      <xdr:rowOff>106680</xdr:rowOff>
    </xdr:to>
    <xdr:sp macro="" textlink="PivotTable!B12">
      <xdr:nvSpPr>
        <xdr:cNvPr id="44" name="TextBox 43">
          <a:extLst>
            <a:ext uri="{FF2B5EF4-FFF2-40B4-BE49-F238E27FC236}">
              <a16:creationId xmlns:a16="http://schemas.microsoft.com/office/drawing/2014/main" id="{6E71F2AD-897D-EB30-E73A-83FA6293A636}"/>
            </a:ext>
          </a:extLst>
        </xdr:cNvPr>
        <xdr:cNvSpPr txBox="1"/>
      </xdr:nvSpPr>
      <xdr:spPr>
        <a:xfrm>
          <a:off x="4579620" y="1219200"/>
          <a:ext cx="13182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421576-485B-4A69-B032-D98439A0EBD4}" type="TxLink">
            <a:rPr lang="en-US" sz="1800" b="1" i="0" u="none" strike="noStrike">
              <a:solidFill>
                <a:schemeClr val="bg1"/>
              </a:solidFill>
              <a:latin typeface="Lora Medium"/>
            </a:rPr>
            <a:pPr algn="ctr"/>
            <a:t> $280,699 </a:t>
          </a:fld>
          <a:endParaRPr lang="en-US" sz="1800" b="1">
            <a:solidFill>
              <a:schemeClr val="bg1"/>
            </a:solidFill>
          </a:endParaRPr>
        </a:p>
      </xdr:txBody>
    </xdr:sp>
    <xdr:clientData/>
  </xdr:twoCellAnchor>
  <xdr:twoCellAnchor>
    <xdr:from>
      <xdr:col>8</xdr:col>
      <xdr:colOff>525780</xdr:colOff>
      <xdr:row>3</xdr:row>
      <xdr:rowOff>129540</xdr:rowOff>
    </xdr:from>
    <xdr:to>
      <xdr:col>10</xdr:col>
      <xdr:colOff>15240</xdr:colOff>
      <xdr:row>4</xdr:row>
      <xdr:rowOff>83820</xdr:rowOff>
    </xdr:to>
    <xdr:sp macro="" textlink="">
      <xdr:nvSpPr>
        <xdr:cNvPr id="45" name="TextBox 44">
          <a:extLst>
            <a:ext uri="{FF2B5EF4-FFF2-40B4-BE49-F238E27FC236}">
              <a16:creationId xmlns:a16="http://schemas.microsoft.com/office/drawing/2014/main" id="{59E37335-97C2-C3D6-3D8E-1B60E95E11C7}"/>
            </a:ext>
          </a:extLst>
        </xdr:cNvPr>
        <xdr:cNvSpPr txBox="1"/>
      </xdr:nvSpPr>
      <xdr:spPr>
        <a:xfrm>
          <a:off x="6926580" y="929640"/>
          <a:ext cx="13182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Profit</a:t>
          </a:r>
          <a:r>
            <a:rPr lang="en-US" sz="1400" b="1" baseline="0">
              <a:solidFill>
                <a:schemeClr val="bg1"/>
              </a:solidFill>
            </a:rPr>
            <a:t> Margin</a:t>
          </a:r>
          <a:endParaRPr lang="en-US" sz="1400" b="1">
            <a:solidFill>
              <a:schemeClr val="bg1"/>
            </a:solidFill>
          </a:endParaRPr>
        </a:p>
      </xdr:txBody>
    </xdr:sp>
    <xdr:clientData/>
  </xdr:twoCellAnchor>
  <xdr:twoCellAnchor>
    <xdr:from>
      <xdr:col>8</xdr:col>
      <xdr:colOff>525780</xdr:colOff>
      <xdr:row>4</xdr:row>
      <xdr:rowOff>167640</xdr:rowOff>
    </xdr:from>
    <xdr:to>
      <xdr:col>10</xdr:col>
      <xdr:colOff>15240</xdr:colOff>
      <xdr:row>5</xdr:row>
      <xdr:rowOff>121920</xdr:rowOff>
    </xdr:to>
    <xdr:sp macro="" textlink="PivotTable!B13">
      <xdr:nvSpPr>
        <xdr:cNvPr id="46" name="TextBox 45">
          <a:extLst>
            <a:ext uri="{FF2B5EF4-FFF2-40B4-BE49-F238E27FC236}">
              <a16:creationId xmlns:a16="http://schemas.microsoft.com/office/drawing/2014/main" id="{50ECEE30-487C-6BD9-13A6-32890B36B5BE}"/>
            </a:ext>
          </a:extLst>
        </xdr:cNvPr>
        <xdr:cNvSpPr txBox="1"/>
      </xdr:nvSpPr>
      <xdr:spPr>
        <a:xfrm>
          <a:off x="6926580" y="1234440"/>
          <a:ext cx="13182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9F019C-F1B2-4E2A-A622-76221EFDD29E}" type="TxLink">
            <a:rPr lang="en-US" sz="1800" b="1" i="0" u="none" strike="noStrike">
              <a:solidFill>
                <a:schemeClr val="bg1"/>
              </a:solidFill>
              <a:latin typeface="Lora Medium"/>
            </a:rPr>
            <a:pPr algn="ctr"/>
            <a:t>18%</a:t>
          </a:fld>
          <a:endParaRPr lang="en-US" sz="1800" b="1">
            <a:solidFill>
              <a:schemeClr val="bg1"/>
            </a:solidFill>
          </a:endParaRPr>
        </a:p>
      </xdr:txBody>
    </xdr:sp>
    <xdr:clientData/>
  </xdr:twoCellAnchor>
  <xdr:twoCellAnchor editAs="oneCell">
    <xdr:from>
      <xdr:col>5</xdr:col>
      <xdr:colOff>446760</xdr:colOff>
      <xdr:row>3</xdr:row>
      <xdr:rowOff>50520</xdr:rowOff>
    </xdr:from>
    <xdr:to>
      <xdr:col>6</xdr:col>
      <xdr:colOff>205740</xdr:colOff>
      <xdr:row>5</xdr:row>
      <xdr:rowOff>190500</xdr:rowOff>
    </xdr:to>
    <xdr:pic>
      <xdr:nvPicPr>
        <xdr:cNvPr id="48" name="Graphic 47" descr="Money with solid fill">
          <a:extLst>
            <a:ext uri="{FF2B5EF4-FFF2-40B4-BE49-F238E27FC236}">
              <a16:creationId xmlns:a16="http://schemas.microsoft.com/office/drawing/2014/main" id="{2298FB40-2924-FC44-3BEC-20FC70E5F42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04360" y="850620"/>
          <a:ext cx="673380" cy="673380"/>
        </a:xfrm>
        <a:prstGeom prst="rect">
          <a:avLst/>
        </a:prstGeom>
      </xdr:spPr>
    </xdr:pic>
    <xdr:clientData/>
  </xdr:twoCellAnchor>
  <xdr:twoCellAnchor editAs="oneCell">
    <xdr:from>
      <xdr:col>8</xdr:col>
      <xdr:colOff>70980</xdr:colOff>
      <xdr:row>3</xdr:row>
      <xdr:rowOff>70980</xdr:rowOff>
    </xdr:from>
    <xdr:to>
      <xdr:col>8</xdr:col>
      <xdr:colOff>744360</xdr:colOff>
      <xdr:row>5</xdr:row>
      <xdr:rowOff>210960</xdr:rowOff>
    </xdr:to>
    <xdr:pic>
      <xdr:nvPicPr>
        <xdr:cNvPr id="50" name="Graphic 49" descr="Coins with solid fill">
          <a:extLst>
            <a:ext uri="{FF2B5EF4-FFF2-40B4-BE49-F238E27FC236}">
              <a16:creationId xmlns:a16="http://schemas.microsoft.com/office/drawing/2014/main" id="{B2C105A7-1CBA-2704-D26E-F80141D14B4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471780" y="871080"/>
          <a:ext cx="673380" cy="673380"/>
        </a:xfrm>
        <a:prstGeom prst="rect">
          <a:avLst/>
        </a:prstGeom>
      </xdr:spPr>
    </xdr:pic>
    <xdr:clientData/>
  </xdr:twoCellAnchor>
  <xdr:twoCellAnchor editAs="oneCell">
    <xdr:from>
      <xdr:col>2</xdr:col>
      <xdr:colOff>701040</xdr:colOff>
      <xdr:row>3</xdr:row>
      <xdr:rowOff>68580</xdr:rowOff>
    </xdr:from>
    <xdr:to>
      <xdr:col>3</xdr:col>
      <xdr:colOff>460020</xdr:colOff>
      <xdr:row>5</xdr:row>
      <xdr:rowOff>208560</xdr:rowOff>
    </xdr:to>
    <xdr:pic>
      <xdr:nvPicPr>
        <xdr:cNvPr id="52" name="Graphic 51" descr="Dollar with solid fill">
          <a:extLst>
            <a:ext uri="{FF2B5EF4-FFF2-40B4-BE49-F238E27FC236}">
              <a16:creationId xmlns:a16="http://schemas.microsoft.com/office/drawing/2014/main" id="{C61D1C54-A9A7-C5D1-8090-6B9CE87E60B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15440" y="868680"/>
          <a:ext cx="673380" cy="673380"/>
        </a:xfrm>
        <a:prstGeom prst="rect">
          <a:avLst/>
        </a:prstGeom>
      </xdr:spPr>
    </xdr:pic>
    <xdr:clientData/>
  </xdr:twoCellAnchor>
  <xdr:twoCellAnchor>
    <xdr:from>
      <xdr:col>10</xdr:col>
      <xdr:colOff>548640</xdr:colOff>
      <xdr:row>3</xdr:row>
      <xdr:rowOff>53340</xdr:rowOff>
    </xdr:from>
    <xdr:to>
      <xdr:col>13</xdr:col>
      <xdr:colOff>906780</xdr:colOff>
      <xdr:row>14</xdr:row>
      <xdr:rowOff>137160</xdr:rowOff>
    </xdr:to>
    <xdr:graphicFrame macro="">
      <xdr:nvGraphicFramePr>
        <xdr:cNvPr id="53" name="Chart 52">
          <a:extLst>
            <a:ext uri="{FF2B5EF4-FFF2-40B4-BE49-F238E27FC236}">
              <a16:creationId xmlns:a16="http://schemas.microsoft.com/office/drawing/2014/main" id="{0C244950-C81C-487B-8137-FDC7C27C8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7619</xdr:colOff>
      <xdr:row>0</xdr:row>
      <xdr:rowOff>0</xdr:rowOff>
    </xdr:from>
    <xdr:to>
      <xdr:col>15</xdr:col>
      <xdr:colOff>428624</xdr:colOff>
      <xdr:row>22</xdr:row>
      <xdr:rowOff>228600</xdr:rowOff>
    </xdr:to>
    <xdr:sp macro="" textlink="">
      <xdr:nvSpPr>
        <xdr:cNvPr id="3" name="Rectangle 2">
          <a:extLst>
            <a:ext uri="{FF2B5EF4-FFF2-40B4-BE49-F238E27FC236}">
              <a16:creationId xmlns:a16="http://schemas.microsoft.com/office/drawing/2014/main" id="{92EC93DC-219C-4D8F-95B6-0ACE287F4FC6}"/>
            </a:ext>
          </a:extLst>
        </xdr:cNvPr>
        <xdr:cNvSpPr/>
      </xdr:nvSpPr>
      <xdr:spPr>
        <a:xfrm>
          <a:off x="188594" y="0"/>
          <a:ext cx="12155805" cy="6096000"/>
        </a:xfrm>
        <a:prstGeom prst="rect">
          <a:avLst/>
        </a:prstGeom>
        <a:solidFill>
          <a:schemeClr val="tx2">
            <a:lumMod val="10000"/>
            <a:lumOff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731519</xdr:colOff>
      <xdr:row>0</xdr:row>
      <xdr:rowOff>47625</xdr:rowOff>
    </xdr:from>
    <xdr:to>
      <xdr:col>15</xdr:col>
      <xdr:colOff>390524</xdr:colOff>
      <xdr:row>3</xdr:row>
      <xdr:rowOff>40005</xdr:rowOff>
    </xdr:to>
    <xdr:sp macro="" textlink="">
      <xdr:nvSpPr>
        <xdr:cNvPr id="4" name="Rectangle: Rounded Corners 3">
          <a:extLst>
            <a:ext uri="{FF2B5EF4-FFF2-40B4-BE49-F238E27FC236}">
              <a16:creationId xmlns:a16="http://schemas.microsoft.com/office/drawing/2014/main" id="{6272F2BC-94CA-43E0-9407-80532ED48D34}"/>
            </a:ext>
          </a:extLst>
        </xdr:cNvPr>
        <xdr:cNvSpPr/>
      </xdr:nvSpPr>
      <xdr:spPr>
        <a:xfrm>
          <a:off x="1750694" y="47625"/>
          <a:ext cx="10555605" cy="792480"/>
        </a:xfrm>
        <a:prstGeom prst="roundRect">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4000" b="1"/>
            <a:t>SALES</a:t>
          </a:r>
          <a:r>
            <a:rPr lang="en-US" sz="4000" b="1" baseline="0"/>
            <a:t> AND PROFIT DASHBOARD</a:t>
          </a:r>
          <a:endParaRPr lang="en-US" sz="4000" b="1"/>
        </a:p>
      </xdr:txBody>
    </xdr:sp>
    <xdr:clientData/>
  </xdr:twoCellAnchor>
  <xdr:twoCellAnchor>
    <xdr:from>
      <xdr:col>1</xdr:col>
      <xdr:colOff>0</xdr:colOff>
      <xdr:row>3</xdr:row>
      <xdr:rowOff>60959</xdr:rowOff>
    </xdr:from>
    <xdr:to>
      <xdr:col>2</xdr:col>
      <xdr:colOff>708660</xdr:colOff>
      <xdr:row>22</xdr:row>
      <xdr:rowOff>238124</xdr:rowOff>
    </xdr:to>
    <xdr:sp macro="" textlink="">
      <xdr:nvSpPr>
        <xdr:cNvPr id="5" name="Rectangle: Rounded Corners 4">
          <a:extLst>
            <a:ext uri="{FF2B5EF4-FFF2-40B4-BE49-F238E27FC236}">
              <a16:creationId xmlns:a16="http://schemas.microsoft.com/office/drawing/2014/main" id="{5D14D04D-48EC-4680-B059-D32FF1A5CFEB}"/>
            </a:ext>
          </a:extLst>
        </xdr:cNvPr>
        <xdr:cNvSpPr/>
      </xdr:nvSpPr>
      <xdr:spPr>
        <a:xfrm>
          <a:off x="180975" y="861059"/>
          <a:ext cx="1546860" cy="5244465"/>
        </a:xfrm>
        <a:prstGeom prst="roundRect">
          <a:avLst>
            <a:gd name="adj" fmla="val 8662"/>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800099</xdr:colOff>
      <xdr:row>3</xdr:row>
      <xdr:rowOff>71120</xdr:rowOff>
    </xdr:from>
    <xdr:to>
      <xdr:col>5</xdr:col>
      <xdr:colOff>657224</xdr:colOff>
      <xdr:row>5</xdr:row>
      <xdr:rowOff>200660</xdr:rowOff>
    </xdr:to>
    <xdr:sp macro="" textlink="">
      <xdr:nvSpPr>
        <xdr:cNvPr id="6" name="Rectangle: Rounded Corners 5">
          <a:extLst>
            <a:ext uri="{FF2B5EF4-FFF2-40B4-BE49-F238E27FC236}">
              <a16:creationId xmlns:a16="http://schemas.microsoft.com/office/drawing/2014/main" id="{AD8CA193-3968-4655-B67A-EE0A217FDEFA}"/>
            </a:ext>
          </a:extLst>
        </xdr:cNvPr>
        <xdr:cNvSpPr/>
      </xdr:nvSpPr>
      <xdr:spPr>
        <a:xfrm>
          <a:off x="1819274" y="871220"/>
          <a:ext cx="2371725" cy="662940"/>
        </a:xfrm>
        <a:prstGeom prst="roundRect">
          <a:avLst>
            <a:gd name="adj" fmla="val 6609"/>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677756</xdr:colOff>
      <xdr:row>3</xdr:row>
      <xdr:rowOff>53340</xdr:rowOff>
    </xdr:from>
    <xdr:to>
      <xdr:col>15</xdr:col>
      <xdr:colOff>390525</xdr:colOff>
      <xdr:row>14</xdr:row>
      <xdr:rowOff>137160</xdr:rowOff>
    </xdr:to>
    <xdr:sp macro="" textlink="">
      <xdr:nvSpPr>
        <xdr:cNvPr id="7" name="Rectangle: Rounded Corners 6">
          <a:extLst>
            <a:ext uri="{FF2B5EF4-FFF2-40B4-BE49-F238E27FC236}">
              <a16:creationId xmlns:a16="http://schemas.microsoft.com/office/drawing/2014/main" id="{17D43F6F-A330-41CC-8860-A7F85A7297DA}"/>
            </a:ext>
          </a:extLst>
        </xdr:cNvPr>
        <xdr:cNvSpPr/>
      </xdr:nvSpPr>
      <xdr:spPr>
        <a:xfrm>
          <a:off x="9240731" y="853440"/>
          <a:ext cx="3065569" cy="3017520"/>
        </a:xfrm>
        <a:prstGeom prst="roundRect">
          <a:avLst>
            <a:gd name="adj" fmla="val 4582"/>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793907</xdr:colOff>
      <xdr:row>5</xdr:row>
      <xdr:rowOff>264160</xdr:rowOff>
    </xdr:from>
    <xdr:to>
      <xdr:col>6</xdr:col>
      <xdr:colOff>559418</xdr:colOff>
      <xdr:row>14</xdr:row>
      <xdr:rowOff>121920</xdr:rowOff>
    </xdr:to>
    <xdr:sp macro="" textlink="">
      <xdr:nvSpPr>
        <xdr:cNvPr id="8" name="Rectangle: Rounded Corners 7">
          <a:extLst>
            <a:ext uri="{FF2B5EF4-FFF2-40B4-BE49-F238E27FC236}">
              <a16:creationId xmlns:a16="http://schemas.microsoft.com/office/drawing/2014/main" id="{86F1FEAA-6DE4-4116-8AFD-B26DE6099B1D}"/>
            </a:ext>
          </a:extLst>
        </xdr:cNvPr>
        <xdr:cNvSpPr/>
      </xdr:nvSpPr>
      <xdr:spPr>
        <a:xfrm>
          <a:off x="1708307" y="1597660"/>
          <a:ext cx="3423111" cy="225806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662940</xdr:colOff>
      <xdr:row>5</xdr:row>
      <xdr:rowOff>256540</xdr:rowOff>
    </xdr:from>
    <xdr:to>
      <xdr:col>11</xdr:col>
      <xdr:colOff>609600</xdr:colOff>
      <xdr:row>14</xdr:row>
      <xdr:rowOff>114300</xdr:rowOff>
    </xdr:to>
    <xdr:sp macro="" textlink="">
      <xdr:nvSpPr>
        <xdr:cNvPr id="9" name="Rectangle: Rounded Corners 8">
          <a:extLst>
            <a:ext uri="{FF2B5EF4-FFF2-40B4-BE49-F238E27FC236}">
              <a16:creationId xmlns:a16="http://schemas.microsoft.com/office/drawing/2014/main" id="{EFF25952-729D-47F3-8E5D-EA86DB6DE040}"/>
            </a:ext>
          </a:extLst>
        </xdr:cNvPr>
        <xdr:cNvSpPr/>
      </xdr:nvSpPr>
      <xdr:spPr>
        <a:xfrm>
          <a:off x="5034915" y="1590040"/>
          <a:ext cx="4137660" cy="2258060"/>
        </a:xfrm>
        <a:prstGeom prst="roundRect">
          <a:avLst>
            <a:gd name="adj" fmla="val 3169"/>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417194</xdr:colOff>
      <xdr:row>14</xdr:row>
      <xdr:rowOff>201930</xdr:rowOff>
    </xdr:from>
    <xdr:to>
      <xdr:col>15</xdr:col>
      <xdr:colOff>380999</xdr:colOff>
      <xdr:row>22</xdr:row>
      <xdr:rowOff>152400</xdr:rowOff>
    </xdr:to>
    <xdr:sp macro="" textlink="">
      <xdr:nvSpPr>
        <xdr:cNvPr id="10" name="Rectangle: Rounded Corners 9">
          <a:extLst>
            <a:ext uri="{FF2B5EF4-FFF2-40B4-BE49-F238E27FC236}">
              <a16:creationId xmlns:a16="http://schemas.microsoft.com/office/drawing/2014/main" id="{AB83EDB5-770C-47CE-886C-0E68887DCED3}"/>
            </a:ext>
          </a:extLst>
        </xdr:cNvPr>
        <xdr:cNvSpPr/>
      </xdr:nvSpPr>
      <xdr:spPr>
        <a:xfrm>
          <a:off x="6465569" y="3935730"/>
          <a:ext cx="5831205" cy="2084070"/>
        </a:xfrm>
        <a:prstGeom prst="roundRect">
          <a:avLst>
            <a:gd name="adj" fmla="val 2956"/>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513715</xdr:colOff>
      <xdr:row>3</xdr:row>
      <xdr:rowOff>68580</xdr:rowOff>
    </xdr:from>
    <xdr:to>
      <xdr:col>5</xdr:col>
      <xdr:colOff>372919</xdr:colOff>
      <xdr:row>4</xdr:row>
      <xdr:rowOff>99060</xdr:rowOff>
    </xdr:to>
    <xdr:sp macro="" textlink="">
      <xdr:nvSpPr>
        <xdr:cNvPr id="19" name="TextBox 18">
          <a:extLst>
            <a:ext uri="{FF2B5EF4-FFF2-40B4-BE49-F238E27FC236}">
              <a16:creationId xmlns:a16="http://schemas.microsoft.com/office/drawing/2014/main" id="{89B54078-859B-4229-AF5B-22602A2AFDD9}"/>
            </a:ext>
          </a:extLst>
        </xdr:cNvPr>
        <xdr:cNvSpPr txBox="1"/>
      </xdr:nvSpPr>
      <xdr:spPr>
        <a:xfrm>
          <a:off x="2371090" y="868680"/>
          <a:ext cx="1535604"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Total Sales</a:t>
          </a:r>
        </a:p>
      </xdr:txBody>
    </xdr:sp>
    <xdr:clientData/>
  </xdr:twoCellAnchor>
  <xdr:twoCellAnchor>
    <xdr:from>
      <xdr:col>1</xdr:col>
      <xdr:colOff>0</xdr:colOff>
      <xdr:row>0</xdr:row>
      <xdr:rowOff>38100</xdr:rowOff>
    </xdr:from>
    <xdr:to>
      <xdr:col>2</xdr:col>
      <xdr:colOff>662940</xdr:colOff>
      <xdr:row>3</xdr:row>
      <xdr:rowOff>15240</xdr:rowOff>
    </xdr:to>
    <xdr:sp macro="" textlink="">
      <xdr:nvSpPr>
        <xdr:cNvPr id="22" name="Rectangle: Rounded Corners 21">
          <a:extLst>
            <a:ext uri="{FF2B5EF4-FFF2-40B4-BE49-F238E27FC236}">
              <a16:creationId xmlns:a16="http://schemas.microsoft.com/office/drawing/2014/main" id="{647BCF1C-8D91-438A-8B23-9578EB986381}"/>
            </a:ext>
          </a:extLst>
        </xdr:cNvPr>
        <xdr:cNvSpPr/>
      </xdr:nvSpPr>
      <xdr:spPr>
        <a:xfrm>
          <a:off x="180975" y="38100"/>
          <a:ext cx="1501140" cy="777240"/>
        </a:xfrm>
        <a:prstGeom prst="roundRect">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200" b="1"/>
        </a:p>
      </xdr:txBody>
    </xdr:sp>
    <xdr:clientData/>
  </xdr:twoCellAnchor>
  <xdr:twoCellAnchor editAs="oneCell">
    <xdr:from>
      <xdr:col>1</xdr:col>
      <xdr:colOff>342900</xdr:colOff>
      <xdr:row>0</xdr:row>
      <xdr:rowOff>0</xdr:rowOff>
    </xdr:from>
    <xdr:to>
      <xdr:col>2</xdr:col>
      <xdr:colOff>236220</xdr:colOff>
      <xdr:row>3</xdr:row>
      <xdr:rowOff>7620</xdr:rowOff>
    </xdr:to>
    <xdr:pic>
      <xdr:nvPicPr>
        <xdr:cNvPr id="24" name="Graphic 23" descr="Bar graph with upward trend with solid fill">
          <a:extLst>
            <a:ext uri="{FF2B5EF4-FFF2-40B4-BE49-F238E27FC236}">
              <a16:creationId xmlns:a16="http://schemas.microsoft.com/office/drawing/2014/main" id="{1BB201AA-DC62-47C5-823B-4ED2445FF10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2900" y="0"/>
          <a:ext cx="807720" cy="807720"/>
        </a:xfrm>
        <a:prstGeom prst="rect">
          <a:avLst/>
        </a:prstGeom>
      </xdr:spPr>
    </xdr:pic>
    <xdr:clientData/>
  </xdr:twoCellAnchor>
  <xdr:twoCellAnchor>
    <xdr:from>
      <xdr:col>3</xdr:col>
      <xdr:colOff>513715</xdr:colOff>
      <xdr:row>4</xdr:row>
      <xdr:rowOff>121920</xdr:rowOff>
    </xdr:from>
    <xdr:to>
      <xdr:col>5</xdr:col>
      <xdr:colOff>372919</xdr:colOff>
      <xdr:row>5</xdr:row>
      <xdr:rowOff>152400</xdr:rowOff>
    </xdr:to>
    <xdr:sp macro="" textlink="PivotTable!B11">
      <xdr:nvSpPr>
        <xdr:cNvPr id="25" name="TextBox 24">
          <a:extLst>
            <a:ext uri="{FF2B5EF4-FFF2-40B4-BE49-F238E27FC236}">
              <a16:creationId xmlns:a16="http://schemas.microsoft.com/office/drawing/2014/main" id="{8248E540-BC22-4E1A-9A4C-08F1F2C198E0}"/>
            </a:ext>
          </a:extLst>
        </xdr:cNvPr>
        <xdr:cNvSpPr txBox="1"/>
      </xdr:nvSpPr>
      <xdr:spPr>
        <a:xfrm>
          <a:off x="2371090" y="1188720"/>
          <a:ext cx="1535604"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9383B8-EFED-4889-9946-821EB74B4272}" type="TxLink">
            <a:rPr lang="en-US" sz="1800" b="1" i="0" u="none" strike="noStrike">
              <a:solidFill>
                <a:schemeClr val="bg1"/>
              </a:solidFill>
              <a:latin typeface="Lora Medium"/>
            </a:rPr>
            <a:pPr algn="ctr"/>
            <a:t> $1,581,413 </a:t>
          </a:fld>
          <a:endParaRPr lang="en-US" sz="1800" b="1">
            <a:solidFill>
              <a:schemeClr val="bg1"/>
            </a:solidFill>
          </a:endParaRPr>
        </a:p>
      </xdr:txBody>
    </xdr:sp>
    <xdr:clientData/>
  </xdr:twoCellAnchor>
  <xdr:twoCellAnchor>
    <xdr:from>
      <xdr:col>5</xdr:col>
      <xdr:colOff>742950</xdr:colOff>
      <xdr:row>3</xdr:row>
      <xdr:rowOff>71120</xdr:rowOff>
    </xdr:from>
    <xdr:to>
      <xdr:col>8</xdr:col>
      <xdr:colOff>647700</xdr:colOff>
      <xdr:row>5</xdr:row>
      <xdr:rowOff>200660</xdr:rowOff>
    </xdr:to>
    <xdr:sp macro="" textlink="">
      <xdr:nvSpPr>
        <xdr:cNvPr id="27" name="Rectangle: Rounded Corners 26">
          <a:extLst>
            <a:ext uri="{FF2B5EF4-FFF2-40B4-BE49-F238E27FC236}">
              <a16:creationId xmlns:a16="http://schemas.microsoft.com/office/drawing/2014/main" id="{AE39D0E7-3C72-4EDD-8C77-DC04B6AFC8FC}"/>
            </a:ext>
          </a:extLst>
        </xdr:cNvPr>
        <xdr:cNvSpPr/>
      </xdr:nvSpPr>
      <xdr:spPr>
        <a:xfrm>
          <a:off x="4276725" y="871220"/>
          <a:ext cx="2419350" cy="662940"/>
        </a:xfrm>
        <a:prstGeom prst="roundRect">
          <a:avLst>
            <a:gd name="adj" fmla="val 9483"/>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597535</xdr:colOff>
      <xdr:row>3</xdr:row>
      <xdr:rowOff>68580</xdr:rowOff>
    </xdr:from>
    <xdr:to>
      <xdr:col>8</xdr:col>
      <xdr:colOff>456739</xdr:colOff>
      <xdr:row>4</xdr:row>
      <xdr:rowOff>99060</xdr:rowOff>
    </xdr:to>
    <xdr:sp macro="" textlink="">
      <xdr:nvSpPr>
        <xdr:cNvPr id="28" name="TextBox 27">
          <a:extLst>
            <a:ext uri="{FF2B5EF4-FFF2-40B4-BE49-F238E27FC236}">
              <a16:creationId xmlns:a16="http://schemas.microsoft.com/office/drawing/2014/main" id="{566F6A53-F5DA-4520-8DD8-669DE5E29C9F}"/>
            </a:ext>
          </a:extLst>
        </xdr:cNvPr>
        <xdr:cNvSpPr txBox="1"/>
      </xdr:nvSpPr>
      <xdr:spPr>
        <a:xfrm>
          <a:off x="4969510" y="868680"/>
          <a:ext cx="1535604"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Total Profit</a:t>
          </a:r>
        </a:p>
      </xdr:txBody>
    </xdr:sp>
    <xdr:clientData/>
  </xdr:twoCellAnchor>
  <xdr:twoCellAnchor>
    <xdr:from>
      <xdr:col>6</xdr:col>
      <xdr:colOff>597535</xdr:colOff>
      <xdr:row>4</xdr:row>
      <xdr:rowOff>121920</xdr:rowOff>
    </xdr:from>
    <xdr:to>
      <xdr:col>8</xdr:col>
      <xdr:colOff>456739</xdr:colOff>
      <xdr:row>5</xdr:row>
      <xdr:rowOff>152400</xdr:rowOff>
    </xdr:to>
    <xdr:sp macro="" textlink="PivotTable!B12">
      <xdr:nvSpPr>
        <xdr:cNvPr id="29" name="TextBox 28">
          <a:extLst>
            <a:ext uri="{FF2B5EF4-FFF2-40B4-BE49-F238E27FC236}">
              <a16:creationId xmlns:a16="http://schemas.microsoft.com/office/drawing/2014/main" id="{87A9117F-D7DE-4109-A894-D01BF2BA7EAE}"/>
            </a:ext>
          </a:extLst>
        </xdr:cNvPr>
        <xdr:cNvSpPr txBox="1"/>
      </xdr:nvSpPr>
      <xdr:spPr>
        <a:xfrm>
          <a:off x="4969510" y="1188720"/>
          <a:ext cx="1535604"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48749E-A5EE-4D59-AEA6-3F14BBDCDBE6}" type="TxLink">
            <a:rPr lang="en-US" sz="1800" b="1" i="0" u="none" strike="noStrike">
              <a:solidFill>
                <a:schemeClr val="bg1"/>
              </a:solidFill>
              <a:latin typeface="Lora Medium"/>
            </a:rPr>
            <a:pPr algn="ctr"/>
            <a:t> $280,699 </a:t>
          </a:fld>
          <a:endParaRPr lang="en-US" sz="1800" b="1">
            <a:solidFill>
              <a:schemeClr val="bg1"/>
            </a:solidFill>
          </a:endParaRPr>
        </a:p>
      </xdr:txBody>
    </xdr:sp>
    <xdr:clientData/>
  </xdr:twoCellAnchor>
  <xdr:twoCellAnchor>
    <xdr:from>
      <xdr:col>8</xdr:col>
      <xdr:colOff>737233</xdr:colOff>
      <xdr:row>3</xdr:row>
      <xdr:rowOff>71120</xdr:rowOff>
    </xdr:from>
    <xdr:to>
      <xdr:col>11</xdr:col>
      <xdr:colOff>600074</xdr:colOff>
      <xdr:row>5</xdr:row>
      <xdr:rowOff>200660</xdr:rowOff>
    </xdr:to>
    <xdr:sp macro="" textlink="">
      <xdr:nvSpPr>
        <xdr:cNvPr id="30" name="Rectangle: Rounded Corners 29">
          <a:extLst>
            <a:ext uri="{FF2B5EF4-FFF2-40B4-BE49-F238E27FC236}">
              <a16:creationId xmlns:a16="http://schemas.microsoft.com/office/drawing/2014/main" id="{9D0ACEF2-39C0-4C6F-ADF0-20065E267AC5}"/>
            </a:ext>
          </a:extLst>
        </xdr:cNvPr>
        <xdr:cNvSpPr/>
      </xdr:nvSpPr>
      <xdr:spPr>
        <a:xfrm>
          <a:off x="6785608" y="871220"/>
          <a:ext cx="2377441" cy="662940"/>
        </a:xfrm>
        <a:prstGeom prst="roundRect">
          <a:avLst>
            <a:gd name="adj" fmla="val 6609"/>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565150</xdr:colOff>
      <xdr:row>3</xdr:row>
      <xdr:rowOff>68580</xdr:rowOff>
    </xdr:from>
    <xdr:to>
      <xdr:col>11</xdr:col>
      <xdr:colOff>424354</xdr:colOff>
      <xdr:row>4</xdr:row>
      <xdr:rowOff>99060</xdr:rowOff>
    </xdr:to>
    <xdr:sp macro="" textlink="">
      <xdr:nvSpPr>
        <xdr:cNvPr id="31" name="TextBox 30">
          <a:extLst>
            <a:ext uri="{FF2B5EF4-FFF2-40B4-BE49-F238E27FC236}">
              <a16:creationId xmlns:a16="http://schemas.microsoft.com/office/drawing/2014/main" id="{35EA3B51-E9B8-40CE-AF3A-92167DEE8754}"/>
            </a:ext>
          </a:extLst>
        </xdr:cNvPr>
        <xdr:cNvSpPr txBox="1"/>
      </xdr:nvSpPr>
      <xdr:spPr>
        <a:xfrm>
          <a:off x="7451725" y="868680"/>
          <a:ext cx="1535604"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Profit</a:t>
          </a:r>
          <a:r>
            <a:rPr lang="en-US" sz="1400" b="1" baseline="0">
              <a:solidFill>
                <a:schemeClr val="bg1"/>
              </a:solidFill>
            </a:rPr>
            <a:t> Margin</a:t>
          </a:r>
          <a:endParaRPr lang="en-US" sz="1400" b="1">
            <a:solidFill>
              <a:schemeClr val="bg1"/>
            </a:solidFill>
          </a:endParaRPr>
        </a:p>
      </xdr:txBody>
    </xdr:sp>
    <xdr:clientData/>
  </xdr:twoCellAnchor>
  <xdr:twoCellAnchor>
    <xdr:from>
      <xdr:col>9</xdr:col>
      <xdr:colOff>565150</xdr:colOff>
      <xdr:row>4</xdr:row>
      <xdr:rowOff>121920</xdr:rowOff>
    </xdr:from>
    <xdr:to>
      <xdr:col>11</xdr:col>
      <xdr:colOff>424354</xdr:colOff>
      <xdr:row>5</xdr:row>
      <xdr:rowOff>152400</xdr:rowOff>
    </xdr:to>
    <xdr:sp macro="" textlink="PivotTable!B13">
      <xdr:nvSpPr>
        <xdr:cNvPr id="33" name="TextBox 32">
          <a:extLst>
            <a:ext uri="{FF2B5EF4-FFF2-40B4-BE49-F238E27FC236}">
              <a16:creationId xmlns:a16="http://schemas.microsoft.com/office/drawing/2014/main" id="{2215A4D5-C884-4732-8AA3-F651E4371DA8}"/>
            </a:ext>
          </a:extLst>
        </xdr:cNvPr>
        <xdr:cNvSpPr txBox="1"/>
      </xdr:nvSpPr>
      <xdr:spPr>
        <a:xfrm>
          <a:off x="7451725" y="1188720"/>
          <a:ext cx="1535604"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3B0D63-711B-4104-A5E8-39826F3E4C77}" type="TxLink">
            <a:rPr lang="en-US" sz="1800" b="1" i="0" u="none" strike="noStrike">
              <a:solidFill>
                <a:schemeClr val="bg1"/>
              </a:solidFill>
              <a:latin typeface="Lora Medium"/>
            </a:rPr>
            <a:pPr algn="ctr"/>
            <a:t>18%</a:t>
          </a:fld>
          <a:endParaRPr lang="en-US" sz="1800" b="1">
            <a:solidFill>
              <a:schemeClr val="bg1"/>
            </a:solidFill>
          </a:endParaRPr>
        </a:p>
      </xdr:txBody>
    </xdr:sp>
    <xdr:clientData/>
  </xdr:twoCellAnchor>
  <xdr:twoCellAnchor editAs="oneCell">
    <xdr:from>
      <xdr:col>6</xdr:col>
      <xdr:colOff>305295</xdr:colOff>
      <xdr:row>3</xdr:row>
      <xdr:rowOff>48120</xdr:rowOff>
    </xdr:from>
    <xdr:to>
      <xdr:col>7</xdr:col>
      <xdr:colOff>20955</xdr:colOff>
      <xdr:row>5</xdr:row>
      <xdr:rowOff>144780</xdr:rowOff>
    </xdr:to>
    <xdr:pic>
      <xdr:nvPicPr>
        <xdr:cNvPr id="34" name="Graphic 33" descr="Money with solid fill">
          <a:extLst>
            <a:ext uri="{FF2B5EF4-FFF2-40B4-BE49-F238E27FC236}">
              <a16:creationId xmlns:a16="http://schemas.microsoft.com/office/drawing/2014/main" id="{C20AA425-E457-4899-B3F5-B7CF8458C4F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77270" y="848220"/>
          <a:ext cx="553860" cy="630060"/>
        </a:xfrm>
        <a:prstGeom prst="rect">
          <a:avLst/>
        </a:prstGeom>
      </xdr:spPr>
    </xdr:pic>
    <xdr:clientData/>
  </xdr:twoCellAnchor>
  <xdr:twoCellAnchor editAs="oneCell">
    <xdr:from>
      <xdr:col>3</xdr:col>
      <xdr:colOff>272415</xdr:colOff>
      <xdr:row>3</xdr:row>
      <xdr:rowOff>68580</xdr:rowOff>
    </xdr:from>
    <xdr:to>
      <xdr:col>3</xdr:col>
      <xdr:colOff>826275</xdr:colOff>
      <xdr:row>5</xdr:row>
      <xdr:rowOff>165240</xdr:rowOff>
    </xdr:to>
    <xdr:pic>
      <xdr:nvPicPr>
        <xdr:cNvPr id="35" name="Graphic 34" descr="Dollar with solid fill">
          <a:extLst>
            <a:ext uri="{FF2B5EF4-FFF2-40B4-BE49-F238E27FC236}">
              <a16:creationId xmlns:a16="http://schemas.microsoft.com/office/drawing/2014/main" id="{FBF89B20-C6FD-47BB-8916-803EA393826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129790" y="868680"/>
          <a:ext cx="553860" cy="630060"/>
        </a:xfrm>
        <a:prstGeom prst="rect">
          <a:avLst/>
        </a:prstGeom>
      </xdr:spPr>
    </xdr:pic>
    <xdr:clientData/>
  </xdr:twoCellAnchor>
  <xdr:twoCellAnchor editAs="oneCell">
    <xdr:from>
      <xdr:col>9</xdr:col>
      <xdr:colOff>351930</xdr:colOff>
      <xdr:row>3</xdr:row>
      <xdr:rowOff>127140</xdr:rowOff>
    </xdr:from>
    <xdr:to>
      <xdr:col>10</xdr:col>
      <xdr:colOff>143790</xdr:colOff>
      <xdr:row>5</xdr:row>
      <xdr:rowOff>223800</xdr:rowOff>
    </xdr:to>
    <xdr:pic>
      <xdr:nvPicPr>
        <xdr:cNvPr id="36" name="Graphic 35" descr="Coins with solid fill">
          <a:extLst>
            <a:ext uri="{FF2B5EF4-FFF2-40B4-BE49-F238E27FC236}">
              <a16:creationId xmlns:a16="http://schemas.microsoft.com/office/drawing/2014/main" id="{2C6783AD-51CF-41EF-8071-83425474C6C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38505" y="927240"/>
          <a:ext cx="630060" cy="630060"/>
        </a:xfrm>
        <a:prstGeom prst="rect">
          <a:avLst/>
        </a:prstGeom>
      </xdr:spPr>
    </xdr:pic>
    <xdr:clientData/>
  </xdr:twoCellAnchor>
  <xdr:twoCellAnchor>
    <xdr:from>
      <xdr:col>2</xdr:col>
      <xdr:colOff>800100</xdr:colOff>
      <xdr:row>14</xdr:row>
      <xdr:rowOff>203835</xdr:rowOff>
    </xdr:from>
    <xdr:to>
      <xdr:col>8</xdr:col>
      <xdr:colOff>312420</xdr:colOff>
      <xdr:row>22</xdr:row>
      <xdr:rowOff>180975</xdr:rowOff>
    </xdr:to>
    <xdr:sp macro="" textlink="">
      <xdr:nvSpPr>
        <xdr:cNvPr id="37" name="Rectangle: Rounded Corners 36">
          <a:extLst>
            <a:ext uri="{FF2B5EF4-FFF2-40B4-BE49-F238E27FC236}">
              <a16:creationId xmlns:a16="http://schemas.microsoft.com/office/drawing/2014/main" id="{40B90F59-2CD6-4057-B8FE-3073DC813295}"/>
            </a:ext>
          </a:extLst>
        </xdr:cNvPr>
        <xdr:cNvSpPr/>
      </xdr:nvSpPr>
      <xdr:spPr>
        <a:xfrm>
          <a:off x="1819275" y="3937635"/>
          <a:ext cx="4541520" cy="2110740"/>
        </a:xfrm>
        <a:prstGeom prst="roundRect">
          <a:avLst>
            <a:gd name="adj" fmla="val 4031"/>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685800</xdr:colOff>
      <xdr:row>3</xdr:row>
      <xdr:rowOff>60960</xdr:rowOff>
    </xdr:from>
    <xdr:to>
      <xdr:col>15</xdr:col>
      <xdr:colOff>394335</xdr:colOff>
      <xdr:row>14</xdr:row>
      <xdr:rowOff>121920</xdr:rowOff>
    </xdr:to>
    <xdr:graphicFrame macro="">
      <xdr:nvGraphicFramePr>
        <xdr:cNvPr id="39" name="Chart 38">
          <a:extLst>
            <a:ext uri="{FF2B5EF4-FFF2-40B4-BE49-F238E27FC236}">
              <a16:creationId xmlns:a16="http://schemas.microsoft.com/office/drawing/2014/main" id="{E34D7115-20DE-47F7-9D3A-23C3EDB98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662940</xdr:colOff>
      <xdr:row>5</xdr:row>
      <xdr:rowOff>256540</xdr:rowOff>
    </xdr:from>
    <xdr:to>
      <xdr:col>10</xdr:col>
      <xdr:colOff>502920</xdr:colOff>
      <xdr:row>14</xdr:row>
      <xdr:rowOff>121920</xdr:rowOff>
    </xdr:to>
    <xdr:graphicFrame macro="">
      <xdr:nvGraphicFramePr>
        <xdr:cNvPr id="2" name="Chart 1">
          <a:extLst>
            <a:ext uri="{FF2B5EF4-FFF2-40B4-BE49-F238E27FC236}">
              <a16:creationId xmlns:a16="http://schemas.microsoft.com/office/drawing/2014/main" id="{0C69732E-E263-4839-AFA4-5A8336966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793907</xdr:colOff>
      <xdr:row>5</xdr:row>
      <xdr:rowOff>264160</xdr:rowOff>
    </xdr:from>
    <xdr:to>
      <xdr:col>6</xdr:col>
      <xdr:colOff>556260</xdr:colOff>
      <xdr:row>14</xdr:row>
      <xdr:rowOff>99060</xdr:rowOff>
    </xdr:to>
    <mc:AlternateContent xmlns:mc="http://schemas.openxmlformats.org/markup-compatibility/2006">
      <mc:Choice xmlns:cx2="http://schemas.microsoft.com/office/drawing/2015/10/21/chartex" Requires="cx2">
        <xdr:graphicFrame macro="">
          <xdr:nvGraphicFramePr>
            <xdr:cNvPr id="38" name="Chart 37">
              <a:extLst>
                <a:ext uri="{FF2B5EF4-FFF2-40B4-BE49-F238E27FC236}">
                  <a16:creationId xmlns:a16="http://schemas.microsoft.com/office/drawing/2014/main" id="{D9B64A32-B984-456A-AFA6-96F7AE8019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813082" y="1597660"/>
              <a:ext cx="3115153" cy="2235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426720</xdr:colOff>
      <xdr:row>14</xdr:row>
      <xdr:rowOff>220980</xdr:rowOff>
    </xdr:from>
    <xdr:to>
      <xdr:col>15</xdr:col>
      <xdr:colOff>323850</xdr:colOff>
      <xdr:row>21</xdr:row>
      <xdr:rowOff>243840</xdr:rowOff>
    </xdr:to>
    <xdr:graphicFrame macro="">
      <xdr:nvGraphicFramePr>
        <xdr:cNvPr id="40" name="Chart 39">
          <a:extLst>
            <a:ext uri="{FF2B5EF4-FFF2-40B4-BE49-F238E27FC236}">
              <a16:creationId xmlns:a16="http://schemas.microsoft.com/office/drawing/2014/main" id="{747DDA15-35DF-4AE1-8E2B-FA10E1CE9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800100</xdr:colOff>
      <xdr:row>14</xdr:row>
      <xdr:rowOff>220980</xdr:rowOff>
    </xdr:from>
    <xdr:to>
      <xdr:col>8</xdr:col>
      <xdr:colOff>297180</xdr:colOff>
      <xdr:row>21</xdr:row>
      <xdr:rowOff>220980</xdr:rowOff>
    </xdr:to>
    <xdr:graphicFrame macro="">
      <xdr:nvGraphicFramePr>
        <xdr:cNvPr id="47" name="Chart 46">
          <a:extLst>
            <a:ext uri="{FF2B5EF4-FFF2-40B4-BE49-F238E27FC236}">
              <a16:creationId xmlns:a16="http://schemas.microsoft.com/office/drawing/2014/main" id="{1D474C3F-DF7B-43B4-9F85-5ED3EDDA5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66675</xdr:colOff>
      <xdr:row>3</xdr:row>
      <xdr:rowOff>108584</xdr:rowOff>
    </xdr:from>
    <xdr:to>
      <xdr:col>2</xdr:col>
      <xdr:colOff>619125</xdr:colOff>
      <xdr:row>8</xdr:row>
      <xdr:rowOff>238125</xdr:rowOff>
    </xdr:to>
    <mc:AlternateContent xmlns:mc="http://schemas.openxmlformats.org/markup-compatibility/2006" xmlns:a14="http://schemas.microsoft.com/office/drawing/2010/main">
      <mc:Choice Requires="a14">
        <xdr:graphicFrame macro="">
          <xdr:nvGraphicFramePr>
            <xdr:cNvPr id="49" name="Category">
              <a:extLst>
                <a:ext uri="{FF2B5EF4-FFF2-40B4-BE49-F238E27FC236}">
                  <a16:creationId xmlns:a16="http://schemas.microsoft.com/office/drawing/2014/main" id="{4250FB77-F51D-41DE-93AD-31359CF0B13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7650" y="908684"/>
              <a:ext cx="1390650" cy="1463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47625</xdr:colOff>
      <xdr:row>8</xdr:row>
      <xdr:rowOff>146684</xdr:rowOff>
    </xdr:from>
    <xdr:to>
      <xdr:col>2</xdr:col>
      <xdr:colOff>600075</xdr:colOff>
      <xdr:row>15</xdr:row>
      <xdr:rowOff>228600</xdr:rowOff>
    </xdr:to>
    <mc:AlternateContent xmlns:mc="http://schemas.openxmlformats.org/markup-compatibility/2006" xmlns:a14="http://schemas.microsoft.com/office/drawing/2010/main">
      <mc:Choice Requires="a14">
        <xdr:graphicFrame macro="">
          <xdr:nvGraphicFramePr>
            <xdr:cNvPr id="51" name="State">
              <a:extLst>
                <a:ext uri="{FF2B5EF4-FFF2-40B4-BE49-F238E27FC236}">
                  <a16:creationId xmlns:a16="http://schemas.microsoft.com/office/drawing/2014/main" id="{71F9E381-4B47-4FA0-85F6-E9462478F1E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28600" y="2280284"/>
              <a:ext cx="1390650" cy="19488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95250</xdr:colOff>
      <xdr:row>15</xdr:row>
      <xdr:rowOff>175259</xdr:rowOff>
    </xdr:from>
    <xdr:to>
      <xdr:col>2</xdr:col>
      <xdr:colOff>561975</xdr:colOff>
      <xdr:row>22</xdr:row>
      <xdr:rowOff>180975</xdr:rowOff>
    </xdr:to>
    <mc:AlternateContent xmlns:mc="http://schemas.openxmlformats.org/markup-compatibility/2006" xmlns:a14="http://schemas.microsoft.com/office/drawing/2010/main">
      <mc:Choice Requires="a14">
        <xdr:graphicFrame macro="">
          <xdr:nvGraphicFramePr>
            <xdr:cNvPr id="54" name="Years (Order Date)">
              <a:extLst>
                <a:ext uri="{FF2B5EF4-FFF2-40B4-BE49-F238E27FC236}">
                  <a16:creationId xmlns:a16="http://schemas.microsoft.com/office/drawing/2014/main" id="{523FD14D-9B29-485C-AC89-3C5AD384C20B}"/>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276225" y="4175759"/>
              <a:ext cx="1304925" cy="1872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669607</xdr:colOff>
      <xdr:row>0</xdr:row>
      <xdr:rowOff>247651</xdr:rowOff>
    </xdr:from>
    <xdr:to>
      <xdr:col>15</xdr:col>
      <xdr:colOff>298133</xdr:colOff>
      <xdr:row>2</xdr:row>
      <xdr:rowOff>38100</xdr:rowOff>
    </xdr:to>
    <xdr:pic>
      <xdr:nvPicPr>
        <xdr:cNvPr id="55" name="Graphic 54" descr="Chevron arrows with solid fill">
          <a:hlinkClick xmlns:r="http://schemas.openxmlformats.org/officeDocument/2006/relationships" r:id="rId15"/>
          <a:extLst>
            <a:ext uri="{FF2B5EF4-FFF2-40B4-BE49-F238E27FC236}">
              <a16:creationId xmlns:a16="http://schemas.microsoft.com/office/drawing/2014/main" id="{92200CC0-BE80-4042-91D3-B8C564EB55E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747182" y="247651"/>
          <a:ext cx="466726" cy="323849"/>
        </a:xfrm>
        <a:prstGeom prst="rect">
          <a:avLst/>
        </a:prstGeom>
      </xdr:spPr>
    </xdr:pic>
    <xdr:clientData/>
  </xdr:twoCellAnchor>
  <xdr:twoCellAnchor>
    <xdr:from>
      <xdr:col>13</xdr:col>
      <xdr:colOff>626744</xdr:colOff>
      <xdr:row>0</xdr:row>
      <xdr:rowOff>247650</xdr:rowOff>
    </xdr:from>
    <xdr:to>
      <xdr:col>14</xdr:col>
      <xdr:colOff>693419</xdr:colOff>
      <xdr:row>2</xdr:row>
      <xdr:rowOff>38100</xdr:rowOff>
    </xdr:to>
    <xdr:sp macro="" textlink="">
      <xdr:nvSpPr>
        <xdr:cNvPr id="56" name="TextBox 55">
          <a:extLst>
            <a:ext uri="{FF2B5EF4-FFF2-40B4-BE49-F238E27FC236}">
              <a16:creationId xmlns:a16="http://schemas.microsoft.com/office/drawing/2014/main" id="{6115DE74-93E0-4795-A90F-32233648F88A}"/>
            </a:ext>
          </a:extLst>
        </xdr:cNvPr>
        <xdr:cNvSpPr txBox="1"/>
      </xdr:nvSpPr>
      <xdr:spPr>
        <a:xfrm>
          <a:off x="10866119" y="247650"/>
          <a:ext cx="904875" cy="323850"/>
        </a:xfrm>
        <a:prstGeom prst="rect">
          <a:avLst/>
        </a:prstGeom>
        <a:solidFill>
          <a:schemeClr val="accent4">
            <a:lumMod val="40000"/>
            <a:lumOff val="60000"/>
          </a:schemeClr>
        </a:solidFill>
        <a:ln w="9525" cmpd="sng">
          <a:solidFill>
            <a:schemeClr val="lt1">
              <a:shade val="50000"/>
            </a:schemeClr>
          </a:solid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zu ahmed chowdhury" refreshedDate="46137.746537962965" createdVersion="8" refreshedVersion="8" minRefreshableVersion="3" recordCount="793" xr:uid="{481C6146-6F10-4245-8FBF-392FC3533D77}">
  <cacheSource type="worksheet">
    <worksheetSource name="Table2"/>
  </cacheSource>
  <cacheFields count="17">
    <cacheField name="Order ID" numFmtId="0">
      <sharedItems count="793">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 v="ORD-10501"/>
        <s v="ORD-10502"/>
        <s v="ORD-10503"/>
        <s v="ORD-10504"/>
        <s v="ORD-10505"/>
        <s v="ORD-10506"/>
        <s v="ORD-10507"/>
        <s v="ORD-10508"/>
        <s v="ORD-10509"/>
        <s v="ORD-10510"/>
        <s v="ORD-10511"/>
        <s v="ORD-10512"/>
        <s v="ORD-10513"/>
        <s v="ORD-10514"/>
        <s v="ORD-10515"/>
        <s v="ORD-10516"/>
        <s v="ORD-10517"/>
        <s v="ORD-10518"/>
        <s v="ORD-10519"/>
        <s v="ORD-10520"/>
        <s v="ORD-10521"/>
        <s v="ORD-10522"/>
        <s v="ORD-10523"/>
        <s v="ORD-10524"/>
        <s v="ORD-10525"/>
        <s v="ORD-10526"/>
        <s v="ORD-10527"/>
        <s v="ORD-10528"/>
        <s v="ORD-10529"/>
        <s v="ORD-10530"/>
        <s v="ORD-10531"/>
        <s v="ORD-10532"/>
        <s v="ORD-10533"/>
        <s v="ORD-10534"/>
        <s v="ORD-10535"/>
        <s v="ORD-10536"/>
        <s v="ORD-10537"/>
        <s v="ORD-10538"/>
        <s v="ORD-10539"/>
        <s v="ORD-10540"/>
        <s v="ORD-10541"/>
        <s v="ORD-10542"/>
        <s v="ORD-10543"/>
        <s v="ORD-10544"/>
        <s v="ORD-10545"/>
        <s v="ORD-10546"/>
        <s v="ORD-10547"/>
        <s v="ORD-10548"/>
        <s v="ORD-10549"/>
        <s v="ORD-10550"/>
        <s v="ORD-10551"/>
        <s v="ORD-10552"/>
        <s v="ORD-10553"/>
        <s v="ORD-10554"/>
        <s v="ORD-10555"/>
        <s v="ORD-10556"/>
        <s v="ORD-10557"/>
        <s v="ORD-10558"/>
        <s v="ORD-10559"/>
        <s v="ORD-10560"/>
        <s v="ORD-10561"/>
        <s v="ORD-10562"/>
        <s v="ORD-10563"/>
        <s v="ORD-10564"/>
        <s v="ORD-10565"/>
        <s v="ORD-10566"/>
        <s v="ORD-10567"/>
        <s v="ORD-10568"/>
        <s v="ORD-10569"/>
        <s v="ORD-10570"/>
        <s v="ORD-10571"/>
        <s v="ORD-10572"/>
        <s v="ORD-10573"/>
        <s v="ORD-10574"/>
        <s v="ORD-10575"/>
        <s v="ORD-10576"/>
        <s v="ORD-10577"/>
        <s v="ORD-10578"/>
        <s v="ORD-10579"/>
        <s v="ORD-10580"/>
        <s v="ORD-10581"/>
        <s v="ORD-10582"/>
        <s v="ORD-10583"/>
        <s v="ORD-10584"/>
        <s v="ORD-10585"/>
        <s v="ORD-10586"/>
        <s v="ORD-10587"/>
        <s v="ORD-10588"/>
        <s v="ORD-10589"/>
        <s v="ORD-10590"/>
        <s v="ORD-10591"/>
        <s v="ORD-10592"/>
        <s v="ORD-10593"/>
        <s v="ORD-10594"/>
        <s v="ORD-10595"/>
        <s v="ORD-10596"/>
        <s v="ORD-10597"/>
        <s v="ORD-10598"/>
        <s v="ORD-10599"/>
        <s v="ORD-10600"/>
        <s v="ORD-10601"/>
        <s v="ORD-10602"/>
        <s v="ORD-10603"/>
        <s v="ORD-10604"/>
        <s v="ORD-10605"/>
        <s v="ORD-10606"/>
        <s v="ORD-10607"/>
        <s v="ORD-10608"/>
        <s v="ORD-10609"/>
        <s v="ORD-10610"/>
        <s v="ORD-10611"/>
        <s v="ORD-10612"/>
        <s v="ORD-10613"/>
        <s v="ORD-10614"/>
        <s v="ORD-10615"/>
        <s v="ORD-10616"/>
        <s v="ORD-10617"/>
        <s v="ORD-10618"/>
        <s v="ORD-10619"/>
        <s v="ORD-10620"/>
        <s v="ORD-10621"/>
        <s v="ORD-10622"/>
        <s v="ORD-10623"/>
        <s v="ORD-10624"/>
        <s v="ORD-10625"/>
        <s v="ORD-10626"/>
        <s v="ORD-10627"/>
        <s v="ORD-10628"/>
        <s v="ORD-10629"/>
        <s v="ORD-10630"/>
        <s v="ORD-10631"/>
        <s v="ORD-10632"/>
        <s v="ORD-10633"/>
        <s v="ORD-10634"/>
        <s v="ORD-10635"/>
        <s v="ORD-10636"/>
        <s v="ORD-10637"/>
        <s v="ORD-10638"/>
        <s v="ORD-10639"/>
        <s v="ORD-10640"/>
        <s v="ORD-10641"/>
        <s v="ORD-10642"/>
        <s v="ORD-10643"/>
        <s v="ORD-10644"/>
        <s v="ORD-10645"/>
        <s v="ORD-10646"/>
        <s v="ORD-10647"/>
        <s v="ORD-10648"/>
        <s v="ORD-10649"/>
        <s v="ORD-10650"/>
        <s v="ORD-10651"/>
        <s v="ORD-10652"/>
        <s v="ORD-10653"/>
        <s v="ORD-10654"/>
        <s v="ORD-10655"/>
        <s v="ORD-10656"/>
        <s v="ORD-10657"/>
        <s v="ORD-10658"/>
        <s v="ORD-10659"/>
        <s v="ORD-10660"/>
        <s v="ORD-10661"/>
        <s v="ORD-10662"/>
        <s v="ORD-10663"/>
        <s v="ORD-10664"/>
        <s v="ORD-10665"/>
        <s v="ORD-10666"/>
        <s v="ORD-10667"/>
        <s v="ORD-10668"/>
        <s v="ORD-10669"/>
        <s v="ORD-10670"/>
        <s v="ORD-10671"/>
        <s v="ORD-10672"/>
        <s v="ORD-10673"/>
        <s v="ORD-10674"/>
        <s v="ORD-10675"/>
        <s v="ORD-10676"/>
        <s v="ORD-10677"/>
        <s v="ORD-10678"/>
        <s v="ORD-10679"/>
        <s v="ORD-10680"/>
        <s v="ORD-10681"/>
        <s v="ORD-10682"/>
        <s v="ORD-10683"/>
        <s v="ORD-10684"/>
        <s v="ORD-10685"/>
        <s v="ORD-10686"/>
        <s v="ORD-10687"/>
        <s v="ORD-10688"/>
        <s v="ORD-10689"/>
        <s v="ORD-10690"/>
        <s v="ORD-10691"/>
        <s v="ORD-10692"/>
        <s v="ORD-10693"/>
        <s v="ORD-10694"/>
        <s v="ORD-10695"/>
        <s v="ORD-10696"/>
        <s v="ORD-10697"/>
        <s v="ORD-10698"/>
        <s v="ORD-10699"/>
        <s v="ORD-10700"/>
        <s v="ORD-10701"/>
        <s v="ORD-10702"/>
        <s v="ORD-10703"/>
        <s v="ORD-10704"/>
        <s v="ORD-10705"/>
        <s v="ORD-10706"/>
        <s v="ORD-10707"/>
        <s v="ORD-10708"/>
        <s v="ORD-10709"/>
        <s v="ORD-10710"/>
        <s v="ORD-10711"/>
        <s v="ORD-10712"/>
        <s v="ORD-10713"/>
        <s v="ORD-10714"/>
        <s v="ORD-10715"/>
        <s v="ORD-10716"/>
        <s v="ORD-10717"/>
        <s v="ORD-10718"/>
        <s v="ORD-10719"/>
        <s v="ORD-10720"/>
        <s v="ORD-10721"/>
        <s v="ORD-10722"/>
        <s v="ORD-10723"/>
        <s v="ORD-10724"/>
        <s v="ORD-10725"/>
        <s v="ORD-10726"/>
        <s v="ORD-10727"/>
        <s v="ORD-10728"/>
        <s v="ORD-10729"/>
        <s v="ORD-10730"/>
        <s v="ORD-10731"/>
        <s v="ORD-10732"/>
        <s v="ORD-10733"/>
        <s v="ORD-10734"/>
        <s v="ORD-10735"/>
        <s v="ORD-10736"/>
        <s v="ORD-10737"/>
        <s v="ORD-10738"/>
        <s v="ORD-10739"/>
        <s v="ORD-10740"/>
        <s v="ORD-10741"/>
        <s v="ORD-10742"/>
        <s v="ORD-10743"/>
        <s v="ORD-10744"/>
        <s v="ORD-10745"/>
        <s v="ORD-10746"/>
        <s v="ORD-10747"/>
        <s v="ORD-10748"/>
        <s v="ORD-10749"/>
        <s v="ORD-10750"/>
        <s v="ORD-10751"/>
        <s v="ORD-10752"/>
        <s v="ORD-10753"/>
        <s v="ORD-10754"/>
        <s v="ORD-10755"/>
        <s v="ORD-10756"/>
        <s v="ORD-10757"/>
        <s v="ORD-10758"/>
        <s v="ORD-10759"/>
        <s v="ORD-10760"/>
        <s v="ORD-10761"/>
        <s v="ORD-10762"/>
        <s v="ORD-10763"/>
        <s v="ORD-10764"/>
        <s v="ORD-10765"/>
        <s v="ORD-10766"/>
        <s v="ORD-10767"/>
        <s v="ORD-10768"/>
        <s v="ORD-10769"/>
        <s v="ORD-10770"/>
        <s v="ORD-10771"/>
        <s v="ORD-10772"/>
        <s v="ORD-10773"/>
        <s v="ORD-10774"/>
        <s v="ORD-10775"/>
        <s v="ORD-10776"/>
        <s v="ORD-10777"/>
        <s v="ORD-10778"/>
        <s v="ORD-10779"/>
        <s v="ORD-10780"/>
        <s v="ORD-10781"/>
        <s v="ORD-10782"/>
        <s v="ORD-10783"/>
        <s v="ORD-10784"/>
        <s v="ORD-10785"/>
        <s v="ORD-10786"/>
        <s v="ORD-10787"/>
        <s v="ORD-10788"/>
        <s v="ORD-10789"/>
        <s v="ORD-10790"/>
        <s v="ORD-10791"/>
        <s v="ORD-10792"/>
        <s v="ORD-10793"/>
      </sharedItems>
    </cacheField>
    <cacheField name="Order Date" numFmtId="164">
      <sharedItems containsSemiMixedTypes="0" containsNonDate="0" containsDate="1" containsString="0" minDate="2022-01-03T00:00:00" maxDate="2025-12-31T00:00:00" count="574">
        <d v="2022-01-03T00:00:00"/>
        <d v="2022-01-28T00:00:00"/>
        <d v="2022-01-19T00:00:00"/>
        <d v="2022-01-31T00:00:00"/>
        <d v="2022-01-20T00:00:00"/>
        <d v="2022-01-18T00:00:00"/>
        <d v="2022-01-25T00:00:00"/>
        <d v="2022-01-21T00:00:00"/>
        <d v="2022-01-27T00:00:00"/>
        <d v="2022-01-26T00:00:00"/>
        <d v="2022-02-18T00:00:00"/>
        <d v="2022-02-03T00:00:00"/>
        <d v="2022-02-02T00:00:00"/>
        <d v="2022-02-28T00:00:00"/>
        <d v="2022-02-22T00:00:00"/>
        <d v="2022-02-25T00:00:00"/>
        <d v="2022-02-01T00:00:00"/>
        <d v="2022-02-07T00:00:00"/>
        <d v="2022-02-09T00:00:00"/>
        <d v="2022-02-24T00:00:00"/>
        <d v="2022-03-28T00:00:00"/>
        <d v="2022-03-03T00:00:00"/>
        <d v="2022-03-31T00:00:00"/>
        <d v="2022-03-07T00:00:00"/>
        <d v="2022-03-18T00:00:00"/>
        <d v="2022-03-21T00:00:00"/>
        <d v="2022-03-11T00:00:00"/>
        <d v="2022-03-25T00:00:00"/>
        <d v="2022-03-09T00:00:00"/>
        <d v="2022-03-23T00:00:00"/>
        <d v="2022-04-21T00:00:00"/>
        <d v="2022-04-06T00:00:00"/>
        <d v="2022-04-25T00:00:00"/>
        <d v="2022-04-22T00:00:00"/>
        <d v="2022-04-15T00:00:00"/>
        <d v="2022-04-27T00:00:00"/>
        <d v="2022-04-12T00:00:00"/>
        <d v="2022-04-04T00:00:00"/>
        <d v="2022-04-20T00:00:00"/>
        <d v="2022-04-29T00:00:00"/>
        <d v="2022-04-11T00:00:00"/>
        <d v="2022-04-01T00:00:00"/>
        <d v="2022-04-14T00:00:00"/>
        <d v="2022-05-25T00:00:00"/>
        <d v="2022-05-20T00:00:00"/>
        <d v="2022-05-12T00:00:00"/>
        <d v="2022-05-11T00:00:00"/>
        <d v="2022-05-17T00:00:00"/>
        <d v="2022-05-05T00:00:00"/>
        <d v="2022-05-24T00:00:00"/>
        <d v="2022-05-03T00:00:00"/>
        <d v="2022-05-16T00:00:00"/>
        <d v="2022-05-06T00:00:00"/>
        <d v="2022-05-31T00:00:00"/>
        <d v="2022-05-13T00:00:00"/>
        <d v="2022-05-10T00:00:00"/>
        <d v="2022-05-27T00:00:00"/>
        <d v="2022-05-04T00:00:00"/>
        <d v="2022-05-02T00:00:00"/>
        <d v="2022-06-23T00:00:00"/>
        <d v="2022-06-17T00:00:00"/>
        <d v="2022-06-01T00:00:00"/>
        <d v="2022-06-09T00:00:00"/>
        <d v="2022-06-08T00:00:00"/>
        <d v="2022-06-07T00:00:00"/>
        <d v="2022-06-14T00:00:00"/>
        <d v="2022-06-15T00:00:00"/>
        <d v="2022-06-22T00:00:00"/>
        <d v="2022-06-13T00:00:00"/>
        <d v="2022-06-27T00:00:00"/>
        <d v="2022-06-30T00:00:00"/>
        <d v="2022-06-10T00:00:00"/>
        <d v="2022-07-15T00:00:00"/>
        <d v="2022-07-20T00:00:00"/>
        <d v="2022-07-19T00:00:00"/>
        <d v="2022-07-22T00:00:00"/>
        <d v="2022-07-06T00:00:00"/>
        <d v="2022-07-14T00:00:00"/>
        <d v="2022-07-13T00:00:00"/>
        <d v="2022-07-07T00:00:00"/>
        <d v="2022-07-27T00:00:00"/>
        <d v="2022-07-11T00:00:00"/>
        <d v="2022-07-21T00:00:00"/>
        <d v="2022-07-26T00:00:00"/>
        <d v="2022-08-03T00:00:00"/>
        <d v="2022-08-26T00:00:00"/>
        <d v="2022-08-17T00:00:00"/>
        <d v="2022-08-24T00:00:00"/>
        <d v="2022-08-12T00:00:00"/>
        <d v="2022-08-04T00:00:00"/>
        <d v="2022-08-08T00:00:00"/>
        <d v="2022-08-29T00:00:00"/>
        <d v="2022-08-25T00:00:00"/>
        <d v="2022-08-23T00:00:00"/>
        <d v="2022-08-11T00:00:00"/>
        <d v="2022-08-31T00:00:00"/>
        <d v="2022-09-13T00:00:00"/>
        <d v="2022-09-30T00:00:00"/>
        <d v="2022-09-23T00:00:00"/>
        <d v="2022-09-19T00:00:00"/>
        <d v="2022-09-02T00:00:00"/>
        <d v="2022-09-16T00:00:00"/>
        <d v="2022-09-27T00:00:00"/>
        <d v="2022-09-15T00:00:00"/>
        <d v="2022-09-08T00:00:00"/>
        <d v="2022-09-12T00:00:00"/>
        <d v="2022-09-26T00:00:00"/>
        <d v="2022-09-09T00:00:00"/>
        <d v="2022-09-22T00:00:00"/>
        <d v="2022-10-13T00:00:00"/>
        <d v="2022-10-03T00:00:00"/>
        <d v="2022-10-25T00:00:00"/>
        <d v="2022-10-21T00:00:00"/>
        <d v="2022-10-06T00:00:00"/>
        <d v="2022-10-18T00:00:00"/>
        <d v="2022-10-04T00:00:00"/>
        <d v="2022-10-05T00:00:00"/>
        <d v="2022-10-19T00:00:00"/>
        <d v="2022-10-07T00:00:00"/>
        <d v="2022-11-22T00:00:00"/>
        <d v="2022-11-04T00:00:00"/>
        <d v="2022-11-30T00:00:00"/>
        <d v="2022-11-16T00:00:00"/>
        <d v="2022-11-08T00:00:00"/>
        <d v="2022-11-21T00:00:00"/>
        <d v="2022-11-28T00:00:00"/>
        <d v="2022-11-29T00:00:00"/>
        <d v="2022-11-23T00:00:00"/>
        <d v="2022-11-18T00:00:00"/>
        <d v="2022-11-02T00:00:00"/>
        <d v="2022-11-14T00:00:00"/>
        <d v="2022-12-27T00:00:00"/>
        <d v="2022-12-07T00:00:00"/>
        <d v="2022-12-21T00:00:00"/>
        <d v="2022-12-15T00:00:00"/>
        <d v="2022-12-20T00:00:00"/>
        <d v="2022-12-29T00:00:00"/>
        <d v="2022-12-09T00:00:00"/>
        <d v="2022-12-22T00:00:00"/>
        <d v="2022-12-30T00:00:00"/>
        <d v="2022-12-14T00:00:00"/>
        <d v="2022-12-19T00:00:00"/>
        <d v="2022-12-23T00:00:00"/>
        <d v="2023-01-03T00:00:00"/>
        <d v="2023-01-26T00:00:00"/>
        <d v="2023-01-24T00:00:00"/>
        <d v="2023-01-06T00:00:00"/>
        <d v="2023-01-31T00:00:00"/>
        <d v="2023-01-11T00:00:00"/>
        <d v="2023-01-27T00:00:00"/>
        <d v="2023-01-30T00:00:00"/>
        <d v="2023-01-17T00:00:00"/>
        <d v="2023-01-23T00:00:00"/>
        <d v="2023-01-20T00:00:00"/>
        <d v="2023-01-12T00:00:00"/>
        <d v="2023-01-04T00:00:00"/>
        <d v="2023-02-21T00:00:00"/>
        <d v="2023-02-22T00:00:00"/>
        <d v="2023-02-28T00:00:00"/>
        <d v="2023-02-06T00:00:00"/>
        <d v="2023-02-09T00:00:00"/>
        <d v="2023-02-23T00:00:00"/>
        <d v="2023-02-27T00:00:00"/>
        <d v="2023-02-03T00:00:00"/>
        <d v="2023-02-14T00:00:00"/>
        <d v="2023-02-16T00:00:00"/>
        <d v="2023-03-20T00:00:00"/>
        <d v="2023-03-02T00:00:00"/>
        <d v="2023-03-07T00:00:00"/>
        <d v="2023-03-17T00:00:00"/>
        <d v="2023-03-28T00:00:00"/>
        <d v="2023-03-08T00:00:00"/>
        <d v="2023-03-29T00:00:00"/>
        <d v="2023-03-06T00:00:00"/>
        <d v="2023-03-27T00:00:00"/>
        <d v="2023-03-01T00:00:00"/>
        <d v="2023-03-15T00:00:00"/>
        <d v="2023-04-03T00:00:00"/>
        <d v="2023-04-14T00:00:00"/>
        <d v="2023-04-20T00:00:00"/>
        <d v="2023-04-28T00:00:00"/>
        <d v="2023-04-27T00:00:00"/>
        <d v="2023-04-24T00:00:00"/>
        <d v="2023-04-21T00:00:00"/>
        <d v="2023-04-07T00:00:00"/>
        <d v="2023-04-10T00:00:00"/>
        <d v="2023-05-22T00:00:00"/>
        <d v="2023-05-25T00:00:00"/>
        <d v="2023-05-02T00:00:00"/>
        <d v="2023-05-03T00:00:00"/>
        <d v="2023-05-05T00:00:00"/>
        <d v="2023-05-12T00:00:00"/>
        <d v="2023-05-10T00:00:00"/>
        <d v="2023-05-19T00:00:00"/>
        <d v="2023-05-09T00:00:00"/>
        <d v="2023-05-18T00:00:00"/>
        <d v="2023-06-13T00:00:00"/>
        <d v="2023-06-14T00:00:00"/>
        <d v="2023-06-12T00:00:00"/>
        <d v="2023-06-07T00:00:00"/>
        <d v="2023-06-29T00:00:00"/>
        <d v="2023-06-30T00:00:00"/>
        <d v="2023-06-26T00:00:00"/>
        <d v="2023-06-21T00:00:00"/>
        <d v="2023-06-28T00:00:00"/>
        <d v="2023-06-01T00:00:00"/>
        <d v="2023-06-02T00:00:00"/>
        <d v="2023-06-09T00:00:00"/>
        <d v="2023-07-10T00:00:00"/>
        <d v="2023-07-28T00:00:00"/>
        <d v="2023-07-18T00:00:00"/>
        <d v="2023-07-07T00:00:00"/>
        <d v="2023-07-17T00:00:00"/>
        <d v="2023-07-20T00:00:00"/>
        <d v="2023-07-13T00:00:00"/>
        <d v="2023-07-06T00:00:00"/>
        <d v="2023-07-21T00:00:00"/>
        <d v="2023-07-24T00:00:00"/>
        <d v="2023-07-25T00:00:00"/>
        <d v="2023-07-14T00:00:00"/>
        <d v="2023-07-05T00:00:00"/>
        <d v="2023-07-03T00:00:00"/>
        <d v="2023-08-10T00:00:00"/>
        <d v="2023-08-15T00:00:00"/>
        <d v="2023-08-30T00:00:00"/>
        <d v="2023-08-22T00:00:00"/>
        <d v="2023-08-31T00:00:00"/>
        <d v="2023-08-28T00:00:00"/>
        <d v="2023-08-29T00:00:00"/>
        <d v="2023-08-01T00:00:00"/>
        <d v="2023-08-18T00:00:00"/>
        <d v="2023-08-24T00:00:00"/>
        <d v="2023-08-16T00:00:00"/>
        <d v="2023-08-03T00:00:00"/>
        <d v="2023-08-17T00:00:00"/>
        <d v="2023-09-27T00:00:00"/>
        <d v="2023-09-26T00:00:00"/>
        <d v="2023-09-08T00:00:00"/>
        <d v="2023-09-06T00:00:00"/>
        <d v="2023-09-20T00:00:00"/>
        <d v="2023-09-15T00:00:00"/>
        <d v="2023-09-21T00:00:00"/>
        <d v="2023-09-22T00:00:00"/>
        <d v="2023-09-25T00:00:00"/>
        <d v="2023-10-05T00:00:00"/>
        <d v="2023-10-13T00:00:00"/>
        <d v="2023-10-30T00:00:00"/>
        <d v="2023-10-03T00:00:00"/>
        <d v="2023-10-18T00:00:00"/>
        <d v="2023-10-10T00:00:00"/>
        <d v="2023-10-23T00:00:00"/>
        <d v="2023-10-19T00:00:00"/>
        <d v="2023-10-06T00:00:00"/>
        <d v="2023-10-02T00:00:00"/>
        <d v="2023-10-12T00:00:00"/>
        <d v="2023-10-25T00:00:00"/>
        <d v="2023-10-16T00:00:00"/>
        <d v="2023-11-15T00:00:00"/>
        <d v="2023-11-08T00:00:00"/>
        <d v="2023-11-29T00:00:00"/>
        <d v="2023-11-06T00:00:00"/>
        <d v="2023-11-16T00:00:00"/>
        <d v="2023-11-17T00:00:00"/>
        <d v="2023-11-27T00:00:00"/>
        <d v="2023-11-20T00:00:00"/>
        <d v="2023-11-03T00:00:00"/>
        <d v="2023-11-13T00:00:00"/>
        <d v="2023-11-21T00:00:00"/>
        <d v="2023-11-28T00:00:00"/>
        <d v="2023-12-29T00:00:00"/>
        <d v="2023-12-07T00:00:00"/>
        <d v="2023-12-18T00:00:00"/>
        <d v="2023-12-01T00:00:00"/>
        <d v="2023-12-27T00:00:00"/>
        <d v="2023-12-15T00:00:00"/>
        <d v="2023-12-28T00:00:00"/>
        <d v="2023-12-26T00:00:00"/>
        <d v="2023-12-21T00:00:00"/>
        <d v="2023-12-22T00:00:00"/>
        <d v="2023-12-20T00:00:00"/>
        <d v="2023-12-04T00:00:00"/>
        <d v="2024-01-26T00:00:00"/>
        <d v="2024-01-05T00:00:00"/>
        <d v="2024-01-16T00:00:00"/>
        <d v="2024-01-11T00:00:00"/>
        <d v="2024-01-02T00:00:00"/>
        <d v="2024-01-18T00:00:00"/>
        <d v="2024-01-29T00:00:00"/>
        <d v="2024-01-17T00:00:00"/>
        <d v="2024-01-24T00:00:00"/>
        <d v="2024-01-04T00:00:00"/>
        <d v="2024-01-25T00:00:00"/>
        <d v="2024-01-08T00:00:00"/>
        <d v="2024-02-16T00:00:00"/>
        <d v="2024-02-13T00:00:00"/>
        <d v="2024-02-22T00:00:00"/>
        <d v="2024-02-06T00:00:00"/>
        <d v="2024-02-21T00:00:00"/>
        <d v="2024-02-02T00:00:00"/>
        <d v="2024-02-05T00:00:00"/>
        <d v="2024-02-08T00:00:00"/>
        <d v="2024-02-20T00:00:00"/>
        <d v="2024-02-29T00:00:00"/>
        <d v="2024-02-28T00:00:00"/>
        <d v="2024-02-09T00:00:00"/>
        <d v="2024-02-14T00:00:00"/>
        <d v="2024-02-26T00:00:00"/>
        <d v="2024-03-05T00:00:00"/>
        <d v="2024-03-28T00:00:00"/>
        <d v="2024-03-18T00:00:00"/>
        <d v="2024-03-26T00:00:00"/>
        <d v="2024-03-20T00:00:00"/>
        <d v="2024-03-27T00:00:00"/>
        <d v="2024-03-01T00:00:00"/>
        <d v="2024-03-08T00:00:00"/>
        <d v="2024-03-11T00:00:00"/>
        <d v="2024-03-06T00:00:00"/>
        <d v="2024-03-22T00:00:00"/>
        <d v="2024-03-13T00:00:00"/>
        <d v="2024-03-19T00:00:00"/>
        <d v="2024-04-22T00:00:00"/>
        <d v="2024-04-29T00:00:00"/>
        <d v="2024-04-26T00:00:00"/>
        <d v="2024-04-03T00:00:00"/>
        <d v="2024-04-17T00:00:00"/>
        <d v="2024-04-11T00:00:00"/>
        <d v="2024-04-12T00:00:00"/>
        <d v="2024-04-25T00:00:00"/>
        <d v="2024-04-05T00:00:00"/>
        <d v="2024-04-01T00:00:00"/>
        <d v="2024-04-09T00:00:00"/>
        <d v="2024-05-03T00:00:00"/>
        <d v="2024-05-21T00:00:00"/>
        <d v="2024-05-14T00:00:00"/>
        <d v="2024-05-31T00:00:00"/>
        <d v="2024-05-01T00:00:00"/>
        <d v="2024-05-30T00:00:00"/>
        <d v="2024-05-29T00:00:00"/>
        <d v="2024-05-17T00:00:00"/>
        <d v="2024-05-09T00:00:00"/>
        <d v="2024-05-02T00:00:00"/>
        <d v="2024-05-10T00:00:00"/>
        <d v="2024-05-06T00:00:00"/>
        <d v="2024-06-24T00:00:00"/>
        <d v="2024-06-11T00:00:00"/>
        <d v="2024-06-26T00:00:00"/>
        <d v="2024-06-12T00:00:00"/>
        <d v="2024-06-25T00:00:00"/>
        <d v="2024-06-17T00:00:00"/>
        <d v="2024-06-04T00:00:00"/>
        <d v="2024-06-28T00:00:00"/>
        <d v="2024-06-27T00:00:00"/>
        <d v="2024-06-10T00:00:00"/>
        <d v="2024-06-05T00:00:00"/>
        <d v="2024-06-03T00:00:00"/>
        <d v="2024-07-24T00:00:00"/>
        <d v="2024-07-01T00:00:00"/>
        <d v="2024-07-30T00:00:00"/>
        <d v="2024-07-11T00:00:00"/>
        <d v="2024-07-25T00:00:00"/>
        <d v="2024-07-09T00:00:00"/>
        <d v="2024-07-19T00:00:00"/>
        <d v="2024-07-12T00:00:00"/>
        <d v="2024-07-08T00:00:00"/>
        <d v="2024-07-16T00:00:00"/>
        <d v="2024-07-29T00:00:00"/>
        <d v="2024-07-15T00:00:00"/>
        <d v="2024-08-06T00:00:00"/>
        <d v="2024-08-09T00:00:00"/>
        <d v="2024-08-29T00:00:00"/>
        <d v="2024-08-15T00:00:00"/>
        <d v="2024-08-14T00:00:00"/>
        <d v="2024-08-01T00:00:00"/>
        <d v="2024-08-12T00:00:00"/>
        <d v="2024-08-02T00:00:00"/>
        <d v="2024-08-30T00:00:00"/>
        <d v="2024-08-05T00:00:00"/>
        <d v="2024-08-07T00:00:00"/>
        <d v="2024-08-20T00:00:00"/>
        <d v="2024-08-08T00:00:00"/>
        <d v="2024-09-18T00:00:00"/>
        <d v="2024-09-16T00:00:00"/>
        <d v="2024-09-11T00:00:00"/>
        <d v="2024-09-25T00:00:00"/>
        <d v="2024-09-05T00:00:00"/>
        <d v="2024-09-30T00:00:00"/>
        <d v="2024-09-10T00:00:00"/>
        <d v="2024-09-19T00:00:00"/>
        <d v="2024-09-26T00:00:00"/>
        <d v="2024-09-23T00:00:00"/>
        <d v="2024-09-17T00:00:00"/>
        <d v="2024-09-27T00:00:00"/>
        <d v="2024-09-03T00:00:00"/>
        <d v="2024-10-31T00:00:00"/>
        <d v="2024-10-25T00:00:00"/>
        <d v="2024-10-18T00:00:00"/>
        <d v="2024-10-17T00:00:00"/>
        <d v="2024-10-21T00:00:00"/>
        <d v="2024-10-22T00:00:00"/>
        <d v="2024-10-03T00:00:00"/>
        <d v="2024-10-24T00:00:00"/>
        <d v="2024-10-28T00:00:00"/>
        <d v="2024-10-15T00:00:00"/>
        <d v="2024-10-04T00:00:00"/>
        <d v="2024-10-08T00:00:00"/>
        <d v="2024-11-21T00:00:00"/>
        <d v="2024-11-13T00:00:00"/>
        <d v="2024-11-01T00:00:00"/>
        <d v="2024-11-05T00:00:00"/>
        <d v="2024-11-29T00:00:00"/>
        <d v="2024-11-18T00:00:00"/>
        <d v="2024-11-08T00:00:00"/>
        <d v="2024-11-12T00:00:00"/>
        <d v="2024-11-22T00:00:00"/>
        <d v="2024-11-25T00:00:00"/>
        <d v="2024-11-19T00:00:00"/>
        <d v="2024-11-15T00:00:00"/>
        <d v="2024-11-07T00:00:00"/>
        <d v="2024-12-17T00:00:00"/>
        <d v="2024-12-02T00:00:00"/>
        <d v="2024-12-31T00:00:00"/>
        <d v="2024-12-26T00:00:00"/>
        <d v="2024-12-23T00:00:00"/>
        <d v="2024-12-20T00:00:00"/>
        <d v="2024-12-19T00:00:00"/>
        <d v="2024-12-27T00:00:00"/>
        <d v="2024-12-09T00:00:00"/>
        <d v="2024-12-13T00:00:00"/>
        <d v="2025-01-16T00:00:00"/>
        <d v="2025-01-03T00:00:00"/>
        <d v="2025-01-28T00:00:00"/>
        <d v="2025-01-29T00:00:00"/>
        <d v="2025-01-27T00:00:00"/>
        <d v="2025-01-06T00:00:00"/>
        <d v="2025-01-08T00:00:00"/>
        <d v="2025-01-17T00:00:00"/>
        <d v="2025-01-15T00:00:00"/>
        <d v="2025-01-09T00:00:00"/>
        <d v="2025-01-07T00:00:00"/>
        <d v="2025-01-23T00:00:00"/>
        <d v="2025-02-27T00:00:00"/>
        <d v="2025-02-28T00:00:00"/>
        <d v="2025-02-21T00:00:00"/>
        <d v="2025-02-14T00:00:00"/>
        <d v="2025-02-25T00:00:00"/>
        <d v="2025-02-19T00:00:00"/>
        <d v="2025-02-03T00:00:00"/>
        <d v="2025-02-10T00:00:00"/>
        <d v="2025-02-06T00:00:00"/>
        <d v="2025-02-12T00:00:00"/>
        <d v="2025-03-19T00:00:00"/>
        <d v="2025-03-18T00:00:00"/>
        <d v="2025-03-21T00:00:00"/>
        <d v="2025-03-03T00:00:00"/>
        <d v="2025-03-06T00:00:00"/>
        <d v="2025-03-24T00:00:00"/>
        <d v="2025-03-28T00:00:00"/>
        <d v="2025-03-26T00:00:00"/>
        <d v="2025-03-10T00:00:00"/>
        <d v="2025-03-27T00:00:00"/>
        <d v="2025-03-12T00:00:00"/>
        <d v="2025-04-21T00:00:00"/>
        <d v="2025-04-25T00:00:00"/>
        <d v="2025-04-08T00:00:00"/>
        <d v="2025-04-14T00:00:00"/>
        <d v="2025-04-22T00:00:00"/>
        <d v="2025-04-18T00:00:00"/>
        <d v="2025-04-16T00:00:00"/>
        <d v="2025-04-03T00:00:00"/>
        <d v="2025-04-07T00:00:00"/>
        <d v="2025-04-01T00:00:00"/>
        <d v="2025-04-28T00:00:00"/>
        <d v="2025-04-15T00:00:00"/>
        <d v="2025-04-11T00:00:00"/>
        <d v="2025-05-12T00:00:00"/>
        <d v="2025-05-21T00:00:00"/>
        <d v="2025-05-30T00:00:00"/>
        <d v="2025-05-06T00:00:00"/>
        <d v="2025-05-01T00:00:00"/>
        <d v="2025-05-07T00:00:00"/>
        <d v="2025-05-28T00:00:00"/>
        <d v="2025-05-08T00:00:00"/>
        <d v="2025-05-13T00:00:00"/>
        <d v="2025-05-05T00:00:00"/>
        <d v="2025-05-29T00:00:00"/>
        <d v="2025-05-27T00:00:00"/>
        <d v="2025-06-20T00:00:00"/>
        <d v="2025-06-13T00:00:00"/>
        <d v="2025-06-23T00:00:00"/>
        <d v="2025-06-24T00:00:00"/>
        <d v="2025-06-04T00:00:00"/>
        <d v="2025-06-02T00:00:00"/>
        <d v="2025-06-05T00:00:00"/>
        <d v="2025-06-12T00:00:00"/>
        <d v="2025-06-27T00:00:00"/>
        <d v="2025-06-09T00:00:00"/>
        <d v="2025-06-06T00:00:00"/>
        <d v="2025-07-07T00:00:00"/>
        <d v="2025-07-09T00:00:00"/>
        <d v="2025-07-29T00:00:00"/>
        <d v="2025-07-18T00:00:00"/>
        <d v="2025-07-10T00:00:00"/>
        <d v="2025-07-22T00:00:00"/>
        <d v="2025-07-21T00:00:00"/>
        <d v="2025-07-23T00:00:00"/>
        <d v="2025-07-15T00:00:00"/>
        <d v="2025-07-03T00:00:00"/>
        <d v="2025-07-11T00:00:00"/>
        <d v="2025-07-02T00:00:00"/>
        <d v="2025-08-26T00:00:00"/>
        <d v="2025-08-06T00:00:00"/>
        <d v="2025-08-18T00:00:00"/>
        <d v="2025-08-11T00:00:00"/>
        <d v="2025-08-20T00:00:00"/>
        <d v="2025-08-21T00:00:00"/>
        <d v="2025-08-15T00:00:00"/>
        <d v="2025-08-25T00:00:00"/>
        <d v="2025-08-28T00:00:00"/>
        <d v="2025-08-14T00:00:00"/>
        <d v="2025-08-27T00:00:00"/>
        <d v="2025-09-17T00:00:00"/>
        <d v="2025-09-22T00:00:00"/>
        <d v="2025-09-24T00:00:00"/>
        <d v="2025-09-19T00:00:00"/>
        <d v="2025-09-23T00:00:00"/>
        <d v="2025-09-02T00:00:00"/>
        <d v="2025-09-18T00:00:00"/>
        <d v="2025-09-16T00:00:00"/>
        <d v="2025-09-12T00:00:00"/>
        <d v="2025-09-29T00:00:00"/>
        <d v="2025-09-09T00:00:00"/>
        <d v="2025-09-03T00:00:00"/>
        <d v="2025-09-05T00:00:00"/>
        <d v="2025-10-31T00:00:00"/>
        <d v="2025-10-07T00:00:00"/>
        <d v="2025-10-30T00:00:00"/>
        <d v="2025-10-09T00:00:00"/>
        <d v="2025-10-27T00:00:00"/>
        <d v="2025-10-16T00:00:00"/>
        <d v="2025-10-01T00:00:00"/>
        <d v="2025-10-08T00:00:00"/>
        <d v="2025-10-17T00:00:00"/>
        <d v="2025-10-29T00:00:00"/>
        <d v="2025-10-14T00:00:00"/>
        <d v="2025-10-02T00:00:00"/>
        <d v="2025-10-10T00:00:00"/>
        <d v="2025-10-23T00:00:00"/>
        <d v="2025-10-24T00:00:00"/>
        <d v="2025-11-20T00:00:00"/>
        <d v="2025-11-04T00:00:00"/>
        <d v="2025-11-24T00:00:00"/>
        <d v="2025-11-18T00:00:00"/>
        <d v="2025-11-26T00:00:00"/>
        <d v="2025-11-17T00:00:00"/>
        <d v="2025-11-03T00:00:00"/>
        <d v="2025-11-12T00:00:00"/>
        <d v="2025-11-13T00:00:00"/>
        <d v="2025-11-19T00:00:00"/>
        <d v="2025-11-06T00:00:00"/>
        <d v="2025-11-21T00:00:00"/>
        <d v="2025-11-07T00:00:00"/>
        <d v="2025-12-23T00:00:00"/>
        <d v="2025-12-11T00:00:00"/>
        <d v="2025-12-17T00:00:00"/>
        <d v="2025-12-26T00:00:00"/>
        <d v="2025-12-24T00:00:00"/>
        <d v="2025-12-15T00:00:00"/>
        <d v="2025-12-01T00:00:00"/>
        <d v="2025-12-09T00:00:00"/>
        <d v="2025-12-12T00:00:00"/>
        <d v="2025-12-29T00:00:00"/>
        <d v="2025-12-30T00:00:00"/>
        <d v="2025-12-18T00:00:00"/>
        <d v="2025-12-05T00:00:00"/>
      </sharedItems>
      <fieldGroup par="16"/>
    </cacheField>
    <cacheField name="Category" numFmtId="0">
      <sharedItems count="3">
        <s v="Technology"/>
        <s v="Office Supplies"/>
        <s v="Furniture"/>
      </sharedItems>
    </cacheField>
    <cacheField name="Sub-Category" numFmtId="0">
      <sharedItems count="9">
        <s v="Accessories"/>
        <s v="Laptops"/>
        <s v="Paper"/>
        <s v="Storage"/>
        <s v="Binders"/>
        <s v="Chairs"/>
        <s v="Tables"/>
        <s v="Monitors"/>
        <s v="Desks"/>
      </sharedItems>
    </cacheField>
    <cacheField name="Customer Name" numFmtId="0">
      <sharedItems count="20">
        <s v="Riverstone Partners"/>
        <s v="NorthStar Distribution"/>
        <s v="Lakeside Commerce"/>
        <s v="Harbor Point Stores"/>
        <s v="Sunrise Office Co."/>
        <s v="Pioneer Logistics"/>
        <s v="Evergreen Business Hub"/>
        <s v="Liberty Health Supply"/>
        <s v="Golden Gate Traders"/>
        <s v="MetroVista Group"/>
        <s v="BrightPath Schools"/>
        <s v="Silverline Services"/>
        <s v="Capital Office Source"/>
        <s v="Summit Tech Works"/>
        <s v="Atlantic Growth LLC"/>
        <s v="Redwood Health Network"/>
        <s v="Maple Street Outfitters"/>
        <s v="Urban Peak Market"/>
        <s v="Canyon Valley Goods"/>
        <s v="Blue Ridge Retail"/>
      </sharedItems>
    </cacheField>
    <cacheField name="Segment" numFmtId="0">
      <sharedItems/>
    </cacheField>
    <cacheField name="State" numFmtId="0">
      <sharedItems count="10">
        <s v="Illinois"/>
        <s v="Florida"/>
        <s v="New York"/>
        <s v="Georgia"/>
        <s v="Colorado"/>
        <s v="California"/>
        <s v="Arizona"/>
        <s v="Washington"/>
        <s v="Texas"/>
        <s v="North Carolina"/>
      </sharedItems>
    </cacheField>
    <cacheField name="Region" numFmtId="0">
      <sharedItems/>
    </cacheField>
    <cacheField name="Sales Rep" numFmtId="0">
      <sharedItems/>
    </cacheField>
    <cacheField name="Quantity" numFmtId="0">
      <sharedItems containsSemiMixedTypes="0" containsString="0" containsNumber="1" containsInteger="1" minValue="1" maxValue="18"/>
    </cacheField>
    <cacheField name="Unit Price" numFmtId="165">
      <sharedItems containsSemiMixedTypes="0" containsString="0" containsNumber="1" minValue="24.3" maxValue="2151.2399999999998"/>
    </cacheField>
    <cacheField name="Discount" numFmtId="9">
      <sharedItems containsSemiMixedTypes="0" containsString="0" containsNumber="1" minValue="0" maxValue="0.1"/>
    </cacheField>
    <cacheField name="Sales" numFmtId="165">
      <sharedItems containsSemiMixedTypes="0" containsString="0" containsNumber="1" minValue="51.25" maxValue="14710.79"/>
    </cacheField>
    <cacheField name="Profit" numFmtId="165">
      <sharedItems containsSemiMixedTypes="0" containsString="0" containsNumber="1" minValue="-52.18" maxValue="3186.9"/>
    </cacheField>
    <cacheField name="Months (Order Date)" numFmtId="0" databaseField="0">
      <fieldGroup base="1">
        <rangePr groupBy="months" startDate="2022-01-03T00:00:00" endDate="2025-12-31T00:00:00"/>
        <groupItems count="14">
          <s v="&lt;03-01-22"/>
          <s v="Jan"/>
          <s v="Feb"/>
          <s v="Mar"/>
          <s v="Apr"/>
          <s v="May"/>
          <s v="Jun"/>
          <s v="Jul"/>
          <s v="Aug"/>
          <s v="Sep"/>
          <s v="Oct"/>
          <s v="Nov"/>
          <s v="Dec"/>
          <s v="&gt;31-12-25"/>
        </groupItems>
      </fieldGroup>
    </cacheField>
    <cacheField name="Quarters (Order Date)" numFmtId="0" databaseField="0">
      <fieldGroup base="1">
        <rangePr groupBy="quarters" startDate="2022-01-03T00:00:00" endDate="2025-12-31T00:00:00"/>
        <groupItems count="6">
          <s v="&lt;03-01-22"/>
          <s v="Qtr1"/>
          <s v="Qtr2"/>
          <s v="Qtr3"/>
          <s v="Qtr4"/>
          <s v="&gt;31-12-25"/>
        </groupItems>
      </fieldGroup>
    </cacheField>
    <cacheField name="Years (Order Date)" numFmtId="0" databaseField="0">
      <fieldGroup base="1">
        <rangePr groupBy="years" startDate="2022-01-03T00:00:00" endDate="2025-12-31T00:00:00"/>
        <groupItems count="6">
          <s v="&lt;03-01-22"/>
          <s v="2022"/>
          <s v="2023"/>
          <s v="2024"/>
          <s v="2025"/>
          <s v="&gt;31-12-25"/>
        </groupItems>
      </fieldGroup>
    </cacheField>
  </cacheFields>
  <extLst>
    <ext xmlns:x14="http://schemas.microsoft.com/office/spreadsheetml/2009/9/main" uri="{725AE2AE-9491-48be-B2B4-4EB974FC3084}">
      <x14:pivotCacheDefinition pivotCacheId="19146012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3">
  <r>
    <x v="0"/>
    <x v="0"/>
    <x v="0"/>
    <x v="0"/>
    <x v="0"/>
    <s v="Corporate"/>
    <x v="0"/>
    <s v="Midwest"/>
    <s v="Liam Brooks"/>
    <n v="5"/>
    <n v="80.92"/>
    <n v="7.0000000000000007E-2"/>
    <n v="376.26"/>
    <n v="27.25"/>
  </r>
  <r>
    <x v="1"/>
    <x v="1"/>
    <x v="0"/>
    <x v="1"/>
    <x v="1"/>
    <s v="Consumer"/>
    <x v="1"/>
    <s v="South"/>
    <s v="Emma Carter"/>
    <n v="4"/>
    <n v="1232.17"/>
    <n v="0.1"/>
    <n v="4435.8"/>
    <n v="788.21"/>
  </r>
  <r>
    <x v="2"/>
    <x v="2"/>
    <x v="1"/>
    <x v="2"/>
    <x v="2"/>
    <s v="Small Business"/>
    <x v="2"/>
    <s v="Northeast"/>
    <s v="Sophia Reed"/>
    <n v="6"/>
    <n v="45.79"/>
    <n v="0.03"/>
    <n v="266.48"/>
    <n v="5.43"/>
  </r>
  <r>
    <x v="3"/>
    <x v="3"/>
    <x v="1"/>
    <x v="3"/>
    <x v="3"/>
    <s v="Consumer"/>
    <x v="0"/>
    <s v="Midwest"/>
    <s v="Noah Foster"/>
    <n v="5"/>
    <n v="74.260000000000005"/>
    <n v="0.05"/>
    <n v="352.74"/>
    <n v="37.81"/>
  </r>
  <r>
    <x v="4"/>
    <x v="4"/>
    <x v="1"/>
    <x v="3"/>
    <x v="4"/>
    <s v="Corporate"/>
    <x v="1"/>
    <s v="South"/>
    <s v="James Collins"/>
    <n v="9"/>
    <n v="74.5"/>
    <n v="0"/>
    <n v="670.48"/>
    <n v="112.27"/>
  </r>
  <r>
    <x v="5"/>
    <x v="3"/>
    <x v="1"/>
    <x v="4"/>
    <x v="5"/>
    <s v="Small Business"/>
    <x v="3"/>
    <s v="South"/>
    <s v="Sophia Reed"/>
    <n v="8"/>
    <n v="25.83"/>
    <n v="0.1"/>
    <n v="185.99"/>
    <n v="1.18"/>
  </r>
  <r>
    <x v="6"/>
    <x v="5"/>
    <x v="2"/>
    <x v="5"/>
    <x v="0"/>
    <s v="Corporate"/>
    <x v="4"/>
    <s v="West"/>
    <s v="Noah Foster"/>
    <n v="7"/>
    <n v="263.48"/>
    <n v="0.1"/>
    <n v="1659.95"/>
    <n v="384.54"/>
  </r>
  <r>
    <x v="7"/>
    <x v="6"/>
    <x v="0"/>
    <x v="1"/>
    <x v="6"/>
    <s v="Small Business"/>
    <x v="5"/>
    <s v="West"/>
    <s v="Sophia Reed"/>
    <n v="2"/>
    <n v="1315.66"/>
    <n v="7.0000000000000007E-2"/>
    <n v="2447.13"/>
    <n v="474.42"/>
  </r>
  <r>
    <x v="8"/>
    <x v="1"/>
    <x v="1"/>
    <x v="3"/>
    <x v="7"/>
    <s v="Small Business"/>
    <x v="6"/>
    <s v="West"/>
    <s v="Liam Brooks"/>
    <n v="9"/>
    <n v="68.45"/>
    <n v="7.0000000000000007E-2"/>
    <n v="572.96"/>
    <n v="71.72"/>
  </r>
  <r>
    <x v="9"/>
    <x v="7"/>
    <x v="1"/>
    <x v="4"/>
    <x v="7"/>
    <s v="Consumer"/>
    <x v="1"/>
    <s v="South"/>
    <s v="Noah Foster"/>
    <n v="4"/>
    <n v="27.75"/>
    <n v="0"/>
    <n v="110.99"/>
    <n v="0.18"/>
  </r>
  <r>
    <x v="10"/>
    <x v="8"/>
    <x v="2"/>
    <x v="5"/>
    <x v="8"/>
    <s v="Consumer"/>
    <x v="7"/>
    <s v="West"/>
    <s v="Noah Foster"/>
    <n v="5"/>
    <n v="304.29000000000002"/>
    <n v="0"/>
    <n v="1521.44"/>
    <n v="359.27"/>
  </r>
  <r>
    <x v="11"/>
    <x v="9"/>
    <x v="1"/>
    <x v="3"/>
    <x v="9"/>
    <s v="Small Business"/>
    <x v="3"/>
    <s v="South"/>
    <s v="Noah Foster"/>
    <n v="7"/>
    <n v="67.17"/>
    <n v="0.1"/>
    <n v="423.14"/>
    <n v="82.12"/>
  </r>
  <r>
    <x v="12"/>
    <x v="9"/>
    <x v="0"/>
    <x v="0"/>
    <x v="10"/>
    <s v="Consumer"/>
    <x v="8"/>
    <s v="South"/>
    <s v="Ava Bennett"/>
    <n v="8"/>
    <n v="81.2"/>
    <n v="0"/>
    <n v="649.57000000000005"/>
    <n v="85.88"/>
  </r>
  <r>
    <x v="13"/>
    <x v="1"/>
    <x v="0"/>
    <x v="0"/>
    <x v="11"/>
    <s v="Corporate"/>
    <x v="3"/>
    <s v="South"/>
    <s v="Emma Carter"/>
    <n v="13"/>
    <n v="80.63"/>
    <n v="0.03"/>
    <n v="1016.8"/>
    <n v="233.58"/>
  </r>
  <r>
    <x v="14"/>
    <x v="10"/>
    <x v="0"/>
    <x v="0"/>
    <x v="4"/>
    <s v="Consumer"/>
    <x v="6"/>
    <s v="West"/>
    <s v="Liam Brooks"/>
    <n v="6"/>
    <n v="79.2"/>
    <n v="7.0000000000000007E-2"/>
    <n v="441.91"/>
    <n v="35.78"/>
  </r>
  <r>
    <x v="15"/>
    <x v="11"/>
    <x v="0"/>
    <x v="0"/>
    <x v="10"/>
    <s v="Small Business"/>
    <x v="1"/>
    <s v="South"/>
    <s v="James Collins"/>
    <n v="13"/>
    <n v="83.28"/>
    <n v="7.0000000000000007E-2"/>
    <n v="1006.9"/>
    <n v="249.2"/>
  </r>
  <r>
    <x v="16"/>
    <x v="12"/>
    <x v="1"/>
    <x v="2"/>
    <x v="12"/>
    <s v="Corporate"/>
    <x v="9"/>
    <s v="South"/>
    <s v="Ava Bennett"/>
    <n v="9"/>
    <n v="38.619999999999997"/>
    <n v="0.1"/>
    <n v="312.81"/>
    <n v="33.86"/>
  </r>
  <r>
    <x v="17"/>
    <x v="13"/>
    <x v="1"/>
    <x v="2"/>
    <x v="0"/>
    <s v="Small Business"/>
    <x v="4"/>
    <s v="West"/>
    <s v="James Collins"/>
    <n v="17"/>
    <n v="41.88"/>
    <n v="0"/>
    <n v="711.99"/>
    <n v="77.67"/>
  </r>
  <r>
    <x v="18"/>
    <x v="12"/>
    <x v="1"/>
    <x v="2"/>
    <x v="2"/>
    <s v="Corporate"/>
    <x v="6"/>
    <s v="West"/>
    <s v="Emma Carter"/>
    <n v="5"/>
    <n v="41.92"/>
    <n v="0.03"/>
    <n v="203.32"/>
    <n v="-1.2"/>
  </r>
  <r>
    <x v="19"/>
    <x v="14"/>
    <x v="2"/>
    <x v="6"/>
    <x v="3"/>
    <s v="Small Business"/>
    <x v="8"/>
    <s v="South"/>
    <s v="James Collins"/>
    <n v="6"/>
    <n v="464.16"/>
    <n v="0"/>
    <n v="2784.95"/>
    <n v="544.59"/>
  </r>
  <r>
    <x v="20"/>
    <x v="15"/>
    <x v="0"/>
    <x v="7"/>
    <x v="13"/>
    <s v="Small Business"/>
    <x v="2"/>
    <s v="Northeast"/>
    <s v="Liam Brooks"/>
    <n v="2"/>
    <n v="368.97"/>
    <n v="7.0000000000000007E-2"/>
    <n v="686.29"/>
    <n v="29.58"/>
  </r>
  <r>
    <x v="21"/>
    <x v="16"/>
    <x v="0"/>
    <x v="1"/>
    <x v="5"/>
    <s v="Small Business"/>
    <x v="1"/>
    <s v="South"/>
    <s v="Noah Foster"/>
    <n v="8"/>
    <n v="1186.3399999999999"/>
    <n v="0.05"/>
    <n v="9016.18"/>
    <n v="1950.62"/>
  </r>
  <r>
    <x v="22"/>
    <x v="15"/>
    <x v="1"/>
    <x v="4"/>
    <x v="10"/>
    <s v="Small Business"/>
    <x v="6"/>
    <s v="West"/>
    <s v="James Collins"/>
    <n v="17"/>
    <n v="24.3"/>
    <n v="0.03"/>
    <n v="400.73"/>
    <n v="55.04"/>
  </r>
  <r>
    <x v="23"/>
    <x v="11"/>
    <x v="0"/>
    <x v="0"/>
    <x v="3"/>
    <s v="Corporate"/>
    <x v="3"/>
    <s v="South"/>
    <s v="Ava Bennett"/>
    <n v="17"/>
    <n v="79.14"/>
    <n v="7.0000000000000007E-2"/>
    <n v="1251.24"/>
    <n v="207.56"/>
  </r>
  <r>
    <x v="24"/>
    <x v="11"/>
    <x v="0"/>
    <x v="1"/>
    <x v="4"/>
    <s v="Consumer"/>
    <x v="9"/>
    <s v="South"/>
    <s v="Liam Brooks"/>
    <n v="7"/>
    <n v="1090.73"/>
    <n v="7.0000000000000007E-2"/>
    <n v="7100.68"/>
    <n v="1058.07"/>
  </r>
  <r>
    <x v="25"/>
    <x v="17"/>
    <x v="1"/>
    <x v="3"/>
    <x v="14"/>
    <s v="Consumer"/>
    <x v="9"/>
    <s v="South"/>
    <s v="Sophia Reed"/>
    <n v="10"/>
    <n v="66.25"/>
    <n v="0.1"/>
    <n v="596.27"/>
    <n v="94.95"/>
  </r>
  <r>
    <x v="26"/>
    <x v="18"/>
    <x v="2"/>
    <x v="6"/>
    <x v="15"/>
    <s v="Small Business"/>
    <x v="0"/>
    <s v="Midwest"/>
    <s v="Emma Carter"/>
    <n v="1"/>
    <n v="410.2"/>
    <n v="7.0000000000000007E-2"/>
    <n v="381.49"/>
    <n v="73.260000000000005"/>
  </r>
  <r>
    <x v="27"/>
    <x v="19"/>
    <x v="2"/>
    <x v="8"/>
    <x v="16"/>
    <s v="Corporate"/>
    <x v="2"/>
    <s v="Northeast"/>
    <s v="Liam Brooks"/>
    <n v="6"/>
    <n v="551.84"/>
    <n v="0.05"/>
    <n v="3145.49"/>
    <n v="633.4"/>
  </r>
  <r>
    <x v="28"/>
    <x v="20"/>
    <x v="2"/>
    <x v="6"/>
    <x v="9"/>
    <s v="Corporate"/>
    <x v="0"/>
    <s v="Midwest"/>
    <s v="Sophia Reed"/>
    <n v="2"/>
    <n v="448.61"/>
    <n v="0.1"/>
    <n v="807.49"/>
    <n v="137.31"/>
  </r>
  <r>
    <x v="29"/>
    <x v="21"/>
    <x v="0"/>
    <x v="0"/>
    <x v="17"/>
    <s v="Consumer"/>
    <x v="3"/>
    <s v="South"/>
    <s v="James Collins"/>
    <n v="10"/>
    <n v="81.67"/>
    <n v="0.03"/>
    <n v="792.2"/>
    <n v="148.22"/>
  </r>
  <r>
    <x v="30"/>
    <x v="22"/>
    <x v="2"/>
    <x v="8"/>
    <x v="3"/>
    <s v="Corporate"/>
    <x v="0"/>
    <s v="Midwest"/>
    <s v="Sophia Reed"/>
    <n v="3"/>
    <n v="524.48"/>
    <n v="0.03"/>
    <n v="1526.23"/>
    <n v="190.58"/>
  </r>
  <r>
    <x v="31"/>
    <x v="23"/>
    <x v="1"/>
    <x v="3"/>
    <x v="9"/>
    <s v="Corporate"/>
    <x v="5"/>
    <s v="West"/>
    <s v="James Collins"/>
    <n v="6"/>
    <n v="88.15"/>
    <n v="0.03"/>
    <n v="513.04"/>
    <n v="96.71"/>
  </r>
  <r>
    <x v="32"/>
    <x v="24"/>
    <x v="0"/>
    <x v="7"/>
    <x v="3"/>
    <s v="Small Business"/>
    <x v="3"/>
    <s v="South"/>
    <s v="Liam Brooks"/>
    <n v="4"/>
    <n v="333.99"/>
    <n v="0.03"/>
    <n v="1295.8800000000001"/>
    <n v="197.57"/>
  </r>
  <r>
    <x v="33"/>
    <x v="24"/>
    <x v="2"/>
    <x v="6"/>
    <x v="0"/>
    <s v="Corporate"/>
    <x v="2"/>
    <s v="Northeast"/>
    <s v="Liam Brooks"/>
    <n v="7"/>
    <n v="453.24"/>
    <n v="0.1"/>
    <n v="2855.41"/>
    <n v="665.13"/>
  </r>
  <r>
    <x v="34"/>
    <x v="25"/>
    <x v="2"/>
    <x v="6"/>
    <x v="13"/>
    <s v="Corporate"/>
    <x v="1"/>
    <s v="South"/>
    <s v="James Collins"/>
    <n v="2"/>
    <n v="431.24"/>
    <n v="0"/>
    <n v="862.49"/>
    <n v="179.94"/>
  </r>
  <r>
    <x v="35"/>
    <x v="26"/>
    <x v="1"/>
    <x v="4"/>
    <x v="0"/>
    <s v="Corporate"/>
    <x v="1"/>
    <s v="South"/>
    <s v="James Collins"/>
    <n v="8"/>
    <n v="28.14"/>
    <n v="0.03"/>
    <n v="218.4"/>
    <n v="-8.59"/>
  </r>
  <r>
    <x v="36"/>
    <x v="27"/>
    <x v="1"/>
    <x v="3"/>
    <x v="8"/>
    <s v="Consumer"/>
    <x v="4"/>
    <s v="West"/>
    <s v="Ava Bennett"/>
    <n v="12"/>
    <n v="79.540000000000006"/>
    <n v="0"/>
    <n v="954.51"/>
    <n v="214.55"/>
  </r>
  <r>
    <x v="37"/>
    <x v="28"/>
    <x v="1"/>
    <x v="2"/>
    <x v="18"/>
    <s v="Small Business"/>
    <x v="8"/>
    <s v="South"/>
    <s v="Sophia Reed"/>
    <n v="12"/>
    <n v="47.68"/>
    <n v="7.0000000000000007E-2"/>
    <n v="532.11"/>
    <n v="14.42"/>
  </r>
  <r>
    <x v="38"/>
    <x v="20"/>
    <x v="1"/>
    <x v="2"/>
    <x v="19"/>
    <s v="Consumer"/>
    <x v="7"/>
    <s v="West"/>
    <s v="Ava Bennett"/>
    <n v="8"/>
    <n v="46.32"/>
    <n v="0"/>
    <n v="370.6"/>
    <n v="20.079999999999998"/>
  </r>
  <r>
    <x v="39"/>
    <x v="24"/>
    <x v="1"/>
    <x v="3"/>
    <x v="10"/>
    <s v="Consumer"/>
    <x v="8"/>
    <s v="South"/>
    <s v="Sophia Reed"/>
    <n v="15"/>
    <n v="78.239999999999995"/>
    <n v="0.1"/>
    <n v="1056.27"/>
    <n v="191.31"/>
  </r>
  <r>
    <x v="40"/>
    <x v="27"/>
    <x v="2"/>
    <x v="8"/>
    <x v="18"/>
    <s v="Consumer"/>
    <x v="2"/>
    <s v="Northeast"/>
    <s v="Sophia Reed"/>
    <n v="7"/>
    <n v="590.65"/>
    <n v="0"/>
    <n v="4134.57"/>
    <n v="725.44"/>
  </r>
  <r>
    <x v="41"/>
    <x v="29"/>
    <x v="2"/>
    <x v="6"/>
    <x v="15"/>
    <s v="Small Business"/>
    <x v="3"/>
    <s v="South"/>
    <s v="Noah Foster"/>
    <n v="4"/>
    <n v="413.49"/>
    <n v="0.1"/>
    <n v="1488.55"/>
    <n v="270.81"/>
  </r>
  <r>
    <x v="42"/>
    <x v="30"/>
    <x v="0"/>
    <x v="1"/>
    <x v="0"/>
    <s v="Corporate"/>
    <x v="0"/>
    <s v="Midwest"/>
    <s v="Liam Brooks"/>
    <n v="1"/>
    <n v="1183.0899999999999"/>
    <n v="0.05"/>
    <n v="1123.93"/>
    <n v="105.81"/>
  </r>
  <r>
    <x v="43"/>
    <x v="31"/>
    <x v="1"/>
    <x v="3"/>
    <x v="17"/>
    <s v="Consumer"/>
    <x v="9"/>
    <s v="South"/>
    <s v="James Collins"/>
    <n v="14"/>
    <n v="72.66"/>
    <n v="0"/>
    <n v="1017.29"/>
    <n v="142.07"/>
  </r>
  <r>
    <x v="44"/>
    <x v="32"/>
    <x v="1"/>
    <x v="2"/>
    <x v="1"/>
    <s v="Small Business"/>
    <x v="2"/>
    <s v="Northeast"/>
    <s v="Emma Carter"/>
    <n v="9"/>
    <n v="54.81"/>
    <n v="0"/>
    <n v="493.3"/>
    <n v="29.39"/>
  </r>
  <r>
    <x v="45"/>
    <x v="33"/>
    <x v="2"/>
    <x v="6"/>
    <x v="15"/>
    <s v="Consumer"/>
    <x v="3"/>
    <s v="South"/>
    <s v="James Collins"/>
    <n v="7"/>
    <n v="440.57"/>
    <n v="7.0000000000000007E-2"/>
    <n v="2868.14"/>
    <n v="616.75"/>
  </r>
  <r>
    <x v="46"/>
    <x v="34"/>
    <x v="1"/>
    <x v="4"/>
    <x v="13"/>
    <s v="Consumer"/>
    <x v="1"/>
    <s v="South"/>
    <s v="Noah Foster"/>
    <n v="9"/>
    <n v="28.22"/>
    <n v="0"/>
    <n v="253.96"/>
    <n v="32.68"/>
  </r>
  <r>
    <x v="47"/>
    <x v="34"/>
    <x v="1"/>
    <x v="3"/>
    <x v="7"/>
    <s v="Corporate"/>
    <x v="8"/>
    <s v="South"/>
    <s v="Liam Brooks"/>
    <n v="14"/>
    <n v="84.01"/>
    <n v="0.1"/>
    <n v="1058.52"/>
    <n v="169.59"/>
  </r>
  <r>
    <x v="48"/>
    <x v="35"/>
    <x v="2"/>
    <x v="8"/>
    <x v="3"/>
    <s v="Corporate"/>
    <x v="7"/>
    <s v="West"/>
    <s v="Noah Foster"/>
    <n v="7"/>
    <n v="587.95000000000005"/>
    <n v="7.0000000000000007E-2"/>
    <n v="3827.57"/>
    <n v="911.07"/>
  </r>
  <r>
    <x v="49"/>
    <x v="36"/>
    <x v="1"/>
    <x v="4"/>
    <x v="16"/>
    <s v="Small Business"/>
    <x v="5"/>
    <s v="West"/>
    <s v="Noah Foster"/>
    <n v="15"/>
    <n v="33.549999999999997"/>
    <n v="0.1"/>
    <n v="452.89"/>
    <n v="50.03"/>
  </r>
  <r>
    <x v="50"/>
    <x v="30"/>
    <x v="1"/>
    <x v="2"/>
    <x v="2"/>
    <s v="Small Business"/>
    <x v="0"/>
    <s v="Midwest"/>
    <s v="Emma Carter"/>
    <n v="14"/>
    <n v="44.42"/>
    <n v="0.1"/>
    <n v="559.66"/>
    <n v="61.15"/>
  </r>
  <r>
    <x v="51"/>
    <x v="37"/>
    <x v="0"/>
    <x v="0"/>
    <x v="19"/>
    <s v="Small Business"/>
    <x v="4"/>
    <s v="West"/>
    <s v="Ava Bennett"/>
    <n v="2"/>
    <n v="81.709999999999994"/>
    <n v="0.05"/>
    <n v="155.25"/>
    <n v="-35.83"/>
  </r>
  <r>
    <x v="52"/>
    <x v="38"/>
    <x v="1"/>
    <x v="4"/>
    <x v="17"/>
    <s v="Small Business"/>
    <x v="3"/>
    <s v="South"/>
    <s v="Sophia Reed"/>
    <n v="12"/>
    <n v="28.42"/>
    <n v="0.05"/>
    <n v="324.04000000000002"/>
    <n v="-0.84"/>
  </r>
  <r>
    <x v="53"/>
    <x v="39"/>
    <x v="1"/>
    <x v="2"/>
    <x v="19"/>
    <s v="Consumer"/>
    <x v="6"/>
    <s v="West"/>
    <s v="Ava Bennett"/>
    <n v="3"/>
    <n v="46.17"/>
    <n v="0.03"/>
    <n v="134.35"/>
    <n v="5.4"/>
  </r>
  <r>
    <x v="54"/>
    <x v="40"/>
    <x v="0"/>
    <x v="1"/>
    <x v="17"/>
    <s v="Corporate"/>
    <x v="1"/>
    <s v="South"/>
    <s v="Ava Bennett"/>
    <n v="3"/>
    <n v="1253.25"/>
    <n v="0.05"/>
    <n v="3571.76"/>
    <n v="625.39"/>
  </r>
  <r>
    <x v="55"/>
    <x v="41"/>
    <x v="1"/>
    <x v="3"/>
    <x v="16"/>
    <s v="Corporate"/>
    <x v="0"/>
    <s v="Midwest"/>
    <s v="Ava Bennett"/>
    <n v="5"/>
    <n v="78.67"/>
    <n v="0"/>
    <n v="393.33"/>
    <n v="85.61"/>
  </r>
  <r>
    <x v="56"/>
    <x v="42"/>
    <x v="1"/>
    <x v="3"/>
    <x v="8"/>
    <s v="Consumer"/>
    <x v="7"/>
    <s v="West"/>
    <s v="Liam Brooks"/>
    <n v="4"/>
    <n v="81.319999999999993"/>
    <n v="0.1"/>
    <n v="292.75"/>
    <n v="11.31"/>
  </r>
  <r>
    <x v="57"/>
    <x v="38"/>
    <x v="2"/>
    <x v="6"/>
    <x v="14"/>
    <s v="Corporate"/>
    <x v="8"/>
    <s v="South"/>
    <s v="Sophia Reed"/>
    <n v="7"/>
    <n v="479.55"/>
    <n v="0"/>
    <n v="3356.82"/>
    <n v="726.41"/>
  </r>
  <r>
    <x v="58"/>
    <x v="43"/>
    <x v="0"/>
    <x v="7"/>
    <x v="15"/>
    <s v="Consumer"/>
    <x v="3"/>
    <s v="South"/>
    <s v="Liam Brooks"/>
    <n v="7"/>
    <n v="327.69"/>
    <n v="7.0000000000000007E-2"/>
    <n v="2133.25"/>
    <n v="513.29"/>
  </r>
  <r>
    <x v="59"/>
    <x v="44"/>
    <x v="1"/>
    <x v="4"/>
    <x v="14"/>
    <s v="Small Business"/>
    <x v="7"/>
    <s v="West"/>
    <s v="Sophia Reed"/>
    <n v="9"/>
    <n v="32.29"/>
    <n v="0"/>
    <n v="290.62"/>
    <n v="18.350000000000001"/>
  </r>
  <r>
    <x v="60"/>
    <x v="45"/>
    <x v="2"/>
    <x v="6"/>
    <x v="6"/>
    <s v="Corporate"/>
    <x v="7"/>
    <s v="West"/>
    <s v="Noah Foster"/>
    <n v="6"/>
    <n v="453.26"/>
    <n v="0"/>
    <n v="2719.54"/>
    <n v="548.85"/>
  </r>
  <r>
    <x v="61"/>
    <x v="46"/>
    <x v="2"/>
    <x v="6"/>
    <x v="12"/>
    <s v="Corporate"/>
    <x v="0"/>
    <s v="Midwest"/>
    <s v="Ava Bennett"/>
    <n v="4"/>
    <n v="421.63"/>
    <n v="0.1"/>
    <n v="1517.88"/>
    <n v="255.07"/>
  </r>
  <r>
    <x v="62"/>
    <x v="47"/>
    <x v="2"/>
    <x v="8"/>
    <x v="15"/>
    <s v="Corporate"/>
    <x v="6"/>
    <s v="West"/>
    <s v="Emma Carter"/>
    <n v="5"/>
    <n v="494.08"/>
    <n v="0.1"/>
    <n v="2223.34"/>
    <n v="303.06"/>
  </r>
  <r>
    <x v="63"/>
    <x v="48"/>
    <x v="1"/>
    <x v="3"/>
    <x v="16"/>
    <s v="Small Business"/>
    <x v="4"/>
    <s v="West"/>
    <s v="James Collins"/>
    <n v="12"/>
    <n v="77.180000000000007"/>
    <n v="0.05"/>
    <n v="879.9"/>
    <n v="148.47"/>
  </r>
  <r>
    <x v="64"/>
    <x v="49"/>
    <x v="2"/>
    <x v="5"/>
    <x v="9"/>
    <s v="Consumer"/>
    <x v="3"/>
    <s v="South"/>
    <s v="Ava Bennett"/>
    <n v="3"/>
    <n v="280.12"/>
    <n v="0.1"/>
    <n v="756.34"/>
    <n v="75.900000000000006"/>
  </r>
  <r>
    <x v="65"/>
    <x v="50"/>
    <x v="2"/>
    <x v="8"/>
    <x v="17"/>
    <s v="Small Business"/>
    <x v="8"/>
    <s v="South"/>
    <s v="Liam Brooks"/>
    <n v="6"/>
    <n v="558.27"/>
    <n v="0"/>
    <n v="3349.64"/>
    <n v="709.83"/>
  </r>
  <r>
    <x v="66"/>
    <x v="51"/>
    <x v="0"/>
    <x v="0"/>
    <x v="7"/>
    <s v="Consumer"/>
    <x v="0"/>
    <s v="Midwest"/>
    <s v="Noah Foster"/>
    <n v="5"/>
    <n v="92.99"/>
    <n v="7.0000000000000007E-2"/>
    <n v="432.42"/>
    <n v="43.44"/>
  </r>
  <r>
    <x v="67"/>
    <x v="52"/>
    <x v="0"/>
    <x v="1"/>
    <x v="11"/>
    <s v="Corporate"/>
    <x v="0"/>
    <s v="Midwest"/>
    <s v="Emma Carter"/>
    <n v="7"/>
    <n v="1298.8900000000001"/>
    <n v="7.0000000000000007E-2"/>
    <n v="8455.76"/>
    <n v="1631.66"/>
  </r>
  <r>
    <x v="68"/>
    <x v="44"/>
    <x v="2"/>
    <x v="8"/>
    <x v="0"/>
    <s v="Corporate"/>
    <x v="8"/>
    <s v="South"/>
    <s v="Ava Bennett"/>
    <n v="7"/>
    <n v="592.84"/>
    <n v="7.0000000000000007E-2"/>
    <n v="3859.4"/>
    <n v="610.79999999999995"/>
  </r>
  <r>
    <x v="69"/>
    <x v="53"/>
    <x v="1"/>
    <x v="4"/>
    <x v="2"/>
    <s v="Small Business"/>
    <x v="9"/>
    <s v="South"/>
    <s v="Ava Bennett"/>
    <n v="3"/>
    <n v="28.39"/>
    <n v="0.1"/>
    <n v="76.650000000000006"/>
    <n v="-35.950000000000003"/>
  </r>
  <r>
    <x v="70"/>
    <x v="54"/>
    <x v="0"/>
    <x v="7"/>
    <x v="5"/>
    <s v="Corporate"/>
    <x v="8"/>
    <s v="South"/>
    <s v="Liam Brooks"/>
    <n v="2"/>
    <n v="363.81"/>
    <n v="0.05"/>
    <n v="691.24"/>
    <n v="59.16"/>
  </r>
  <r>
    <x v="71"/>
    <x v="55"/>
    <x v="0"/>
    <x v="1"/>
    <x v="10"/>
    <s v="Consumer"/>
    <x v="0"/>
    <s v="Midwest"/>
    <s v="Noah Foster"/>
    <n v="2"/>
    <n v="1334.15"/>
    <n v="0.03"/>
    <n v="2588.25"/>
    <n v="448.99"/>
  </r>
  <r>
    <x v="72"/>
    <x v="56"/>
    <x v="1"/>
    <x v="2"/>
    <x v="0"/>
    <s v="Consumer"/>
    <x v="4"/>
    <s v="West"/>
    <s v="Liam Brooks"/>
    <n v="10"/>
    <n v="49.42"/>
    <n v="0"/>
    <n v="494.22"/>
    <n v="12.33"/>
  </r>
  <r>
    <x v="73"/>
    <x v="57"/>
    <x v="2"/>
    <x v="6"/>
    <x v="15"/>
    <s v="Corporate"/>
    <x v="0"/>
    <s v="Midwest"/>
    <s v="Noah Foster"/>
    <n v="5"/>
    <n v="459.71"/>
    <n v="0.03"/>
    <n v="2229.61"/>
    <n v="442.27"/>
  </r>
  <r>
    <x v="74"/>
    <x v="58"/>
    <x v="2"/>
    <x v="5"/>
    <x v="6"/>
    <s v="Consumer"/>
    <x v="7"/>
    <s v="West"/>
    <s v="Sophia Reed"/>
    <n v="1"/>
    <n v="301.67"/>
    <n v="0.1"/>
    <n v="271.51"/>
    <n v="-16.420000000000002"/>
  </r>
  <r>
    <x v="75"/>
    <x v="59"/>
    <x v="2"/>
    <x v="5"/>
    <x v="11"/>
    <s v="Consumer"/>
    <x v="2"/>
    <s v="Northeast"/>
    <s v="James Collins"/>
    <n v="8"/>
    <n v="370.82"/>
    <n v="0"/>
    <n v="2966.57"/>
    <n v="784.36"/>
  </r>
  <r>
    <x v="76"/>
    <x v="60"/>
    <x v="0"/>
    <x v="7"/>
    <x v="2"/>
    <s v="Small Business"/>
    <x v="3"/>
    <s v="South"/>
    <s v="Sophia Reed"/>
    <n v="2"/>
    <n v="367.1"/>
    <n v="0.03"/>
    <n v="712.17"/>
    <n v="72.599999999999994"/>
  </r>
  <r>
    <x v="77"/>
    <x v="61"/>
    <x v="2"/>
    <x v="5"/>
    <x v="4"/>
    <s v="Small Business"/>
    <x v="6"/>
    <s v="West"/>
    <s v="Sophia Reed"/>
    <n v="6"/>
    <n v="276.61"/>
    <n v="0.05"/>
    <n v="1576.69"/>
    <n v="318.2"/>
  </r>
  <r>
    <x v="78"/>
    <x v="62"/>
    <x v="2"/>
    <x v="6"/>
    <x v="2"/>
    <s v="Corporate"/>
    <x v="6"/>
    <s v="West"/>
    <s v="Liam Brooks"/>
    <n v="6"/>
    <n v="440.58"/>
    <n v="0.05"/>
    <n v="2511.3000000000002"/>
    <n v="506.1"/>
  </r>
  <r>
    <x v="79"/>
    <x v="63"/>
    <x v="1"/>
    <x v="3"/>
    <x v="10"/>
    <s v="Small Business"/>
    <x v="2"/>
    <s v="Northeast"/>
    <s v="James Collins"/>
    <n v="17"/>
    <n v="85.91"/>
    <n v="0.1"/>
    <n v="1314.49"/>
    <n v="273.52999999999997"/>
  </r>
  <r>
    <x v="80"/>
    <x v="64"/>
    <x v="1"/>
    <x v="3"/>
    <x v="12"/>
    <s v="Small Business"/>
    <x v="5"/>
    <s v="West"/>
    <s v="Emma Carter"/>
    <n v="9"/>
    <n v="100.26"/>
    <n v="0"/>
    <n v="902.32"/>
    <n v="174.99"/>
  </r>
  <r>
    <x v="81"/>
    <x v="60"/>
    <x v="1"/>
    <x v="3"/>
    <x v="1"/>
    <s v="Consumer"/>
    <x v="0"/>
    <s v="Midwest"/>
    <s v="Sophia Reed"/>
    <n v="15"/>
    <n v="83.23"/>
    <n v="0.05"/>
    <n v="1186"/>
    <n v="190.07"/>
  </r>
  <r>
    <x v="82"/>
    <x v="65"/>
    <x v="0"/>
    <x v="0"/>
    <x v="7"/>
    <s v="Corporate"/>
    <x v="4"/>
    <s v="West"/>
    <s v="Sophia Reed"/>
    <n v="15"/>
    <n v="89.02"/>
    <n v="7.0000000000000007E-2"/>
    <n v="1241.8699999999999"/>
    <n v="327.45"/>
  </r>
  <r>
    <x v="83"/>
    <x v="66"/>
    <x v="2"/>
    <x v="6"/>
    <x v="7"/>
    <s v="Small Business"/>
    <x v="6"/>
    <s v="West"/>
    <s v="Ava Bennett"/>
    <n v="8"/>
    <n v="423.91"/>
    <n v="7.0000000000000007E-2"/>
    <n v="3153.92"/>
    <n v="747.41"/>
  </r>
  <r>
    <x v="84"/>
    <x v="60"/>
    <x v="0"/>
    <x v="0"/>
    <x v="14"/>
    <s v="Small Business"/>
    <x v="1"/>
    <s v="South"/>
    <s v="Liam Brooks"/>
    <n v="15"/>
    <n v="86.97"/>
    <n v="0.1"/>
    <n v="1174.1400000000001"/>
    <n v="225.21"/>
  </r>
  <r>
    <x v="85"/>
    <x v="67"/>
    <x v="1"/>
    <x v="3"/>
    <x v="11"/>
    <s v="Corporate"/>
    <x v="2"/>
    <s v="Northeast"/>
    <s v="Liam Brooks"/>
    <n v="18"/>
    <n v="96.52"/>
    <n v="0.03"/>
    <n v="1685.27"/>
    <n v="364.7"/>
  </r>
  <r>
    <x v="86"/>
    <x v="68"/>
    <x v="0"/>
    <x v="0"/>
    <x v="19"/>
    <s v="Consumer"/>
    <x v="6"/>
    <s v="West"/>
    <s v="Liam Brooks"/>
    <n v="15"/>
    <n v="90.04"/>
    <n v="0"/>
    <n v="1350.58"/>
    <n v="245.37"/>
  </r>
  <r>
    <x v="87"/>
    <x v="69"/>
    <x v="1"/>
    <x v="3"/>
    <x v="4"/>
    <s v="Small Business"/>
    <x v="7"/>
    <s v="West"/>
    <s v="James Collins"/>
    <n v="14"/>
    <n v="89.62"/>
    <n v="0.1"/>
    <n v="1129.17"/>
    <n v="217.03"/>
  </r>
  <r>
    <x v="88"/>
    <x v="70"/>
    <x v="0"/>
    <x v="0"/>
    <x v="0"/>
    <s v="Consumer"/>
    <x v="8"/>
    <s v="South"/>
    <s v="James Collins"/>
    <n v="11"/>
    <n v="104.07"/>
    <n v="0.1"/>
    <n v="1030.26"/>
    <n v="138.74"/>
  </r>
  <r>
    <x v="89"/>
    <x v="64"/>
    <x v="2"/>
    <x v="5"/>
    <x v="5"/>
    <s v="Consumer"/>
    <x v="6"/>
    <s v="West"/>
    <s v="Sophia Reed"/>
    <n v="1"/>
    <n v="273.77999999999997"/>
    <n v="0"/>
    <n v="273.77999999999997"/>
    <n v="-6.12"/>
  </r>
  <r>
    <x v="90"/>
    <x v="71"/>
    <x v="0"/>
    <x v="0"/>
    <x v="14"/>
    <s v="Consumer"/>
    <x v="7"/>
    <s v="West"/>
    <s v="Liam Brooks"/>
    <n v="7"/>
    <n v="91.25"/>
    <n v="7.0000000000000007E-2"/>
    <n v="594.02"/>
    <n v="104.74"/>
  </r>
  <r>
    <x v="91"/>
    <x v="72"/>
    <x v="2"/>
    <x v="5"/>
    <x v="15"/>
    <s v="Consumer"/>
    <x v="1"/>
    <s v="South"/>
    <s v="Sophia Reed"/>
    <n v="8"/>
    <n v="297.27999999999997"/>
    <n v="0"/>
    <n v="2378.27"/>
    <n v="589.55999999999995"/>
  </r>
  <r>
    <x v="92"/>
    <x v="72"/>
    <x v="2"/>
    <x v="6"/>
    <x v="4"/>
    <s v="Small Business"/>
    <x v="2"/>
    <s v="Northeast"/>
    <s v="Sophia Reed"/>
    <n v="5"/>
    <n v="514.73"/>
    <n v="0.05"/>
    <n v="2444.9699999999998"/>
    <n v="538.91"/>
  </r>
  <r>
    <x v="93"/>
    <x v="73"/>
    <x v="0"/>
    <x v="7"/>
    <x v="9"/>
    <s v="Corporate"/>
    <x v="6"/>
    <s v="West"/>
    <s v="Noah Foster"/>
    <n v="6"/>
    <n v="336.21"/>
    <n v="0.1"/>
    <n v="1815.51"/>
    <n v="237.57"/>
  </r>
  <r>
    <x v="94"/>
    <x v="74"/>
    <x v="1"/>
    <x v="2"/>
    <x v="3"/>
    <s v="Consumer"/>
    <x v="9"/>
    <s v="South"/>
    <s v="James Collins"/>
    <n v="17"/>
    <n v="46.56"/>
    <n v="0.03"/>
    <n v="767.74"/>
    <n v="124.22"/>
  </r>
  <r>
    <x v="95"/>
    <x v="75"/>
    <x v="0"/>
    <x v="0"/>
    <x v="18"/>
    <s v="Small Business"/>
    <x v="1"/>
    <s v="South"/>
    <s v="James Collins"/>
    <n v="6"/>
    <n v="91.8"/>
    <n v="0.1"/>
    <n v="495.71"/>
    <n v="97.19"/>
  </r>
  <r>
    <x v="96"/>
    <x v="74"/>
    <x v="0"/>
    <x v="0"/>
    <x v="7"/>
    <s v="Corporate"/>
    <x v="3"/>
    <s v="South"/>
    <s v="Sophia Reed"/>
    <n v="12"/>
    <n v="87.85"/>
    <n v="0"/>
    <n v="1054.25"/>
    <n v="177.71"/>
  </r>
  <r>
    <x v="97"/>
    <x v="76"/>
    <x v="2"/>
    <x v="6"/>
    <x v="5"/>
    <s v="Small Business"/>
    <x v="0"/>
    <s v="Midwest"/>
    <s v="Noah Foster"/>
    <n v="5"/>
    <n v="458.13"/>
    <n v="0.03"/>
    <n v="2221.91"/>
    <n v="504.13"/>
  </r>
  <r>
    <x v="98"/>
    <x v="77"/>
    <x v="0"/>
    <x v="1"/>
    <x v="12"/>
    <s v="Small Business"/>
    <x v="7"/>
    <s v="West"/>
    <s v="Emma Carter"/>
    <n v="7"/>
    <n v="1273.04"/>
    <n v="7.0000000000000007E-2"/>
    <n v="8287.51"/>
    <n v="1185.05"/>
  </r>
  <r>
    <x v="99"/>
    <x v="76"/>
    <x v="2"/>
    <x v="8"/>
    <x v="9"/>
    <s v="Consumer"/>
    <x v="3"/>
    <s v="South"/>
    <s v="Liam Brooks"/>
    <n v="8"/>
    <n v="485.42"/>
    <n v="7.0000000000000007E-2"/>
    <n v="3611.53"/>
    <n v="589.29999999999995"/>
  </r>
  <r>
    <x v="100"/>
    <x v="78"/>
    <x v="2"/>
    <x v="8"/>
    <x v="2"/>
    <s v="Corporate"/>
    <x v="0"/>
    <s v="Midwest"/>
    <s v="Liam Brooks"/>
    <n v="1"/>
    <n v="568.84"/>
    <n v="0.03"/>
    <n v="551.78"/>
    <n v="99.39"/>
  </r>
  <r>
    <x v="101"/>
    <x v="79"/>
    <x v="2"/>
    <x v="5"/>
    <x v="15"/>
    <s v="Small Business"/>
    <x v="7"/>
    <s v="West"/>
    <s v="James Collins"/>
    <n v="7"/>
    <n v="320.52"/>
    <n v="0.1"/>
    <n v="2019.26"/>
    <n v="359.22"/>
  </r>
  <r>
    <x v="102"/>
    <x v="79"/>
    <x v="1"/>
    <x v="3"/>
    <x v="13"/>
    <s v="Corporate"/>
    <x v="7"/>
    <s v="West"/>
    <s v="James Collins"/>
    <n v="13"/>
    <n v="78.69"/>
    <n v="0.05"/>
    <n v="971.84"/>
    <n v="195.58"/>
  </r>
  <r>
    <x v="103"/>
    <x v="76"/>
    <x v="2"/>
    <x v="8"/>
    <x v="16"/>
    <s v="Corporate"/>
    <x v="4"/>
    <s v="West"/>
    <s v="Noah Foster"/>
    <n v="5"/>
    <n v="517.79999999999995"/>
    <n v="0"/>
    <n v="2588.9899999999998"/>
    <n v="515.58000000000004"/>
  </r>
  <r>
    <x v="104"/>
    <x v="80"/>
    <x v="2"/>
    <x v="5"/>
    <x v="19"/>
    <s v="Corporate"/>
    <x v="9"/>
    <s v="South"/>
    <s v="Sophia Reed"/>
    <n v="4"/>
    <n v="306.24"/>
    <n v="7.0000000000000007E-2"/>
    <n v="1139.22"/>
    <n v="128.44999999999999"/>
  </r>
  <r>
    <x v="105"/>
    <x v="81"/>
    <x v="0"/>
    <x v="0"/>
    <x v="0"/>
    <s v="Small Business"/>
    <x v="1"/>
    <s v="South"/>
    <s v="Liam Brooks"/>
    <n v="2"/>
    <n v="87.41"/>
    <n v="0"/>
    <n v="174.82"/>
    <n v="-26.13"/>
  </r>
  <r>
    <x v="106"/>
    <x v="82"/>
    <x v="0"/>
    <x v="0"/>
    <x v="7"/>
    <s v="Corporate"/>
    <x v="5"/>
    <s v="West"/>
    <s v="Sophia Reed"/>
    <n v="9"/>
    <n v="104.6"/>
    <n v="0"/>
    <n v="941.42"/>
    <n v="228.51"/>
  </r>
  <r>
    <x v="107"/>
    <x v="83"/>
    <x v="2"/>
    <x v="5"/>
    <x v="11"/>
    <s v="Small Business"/>
    <x v="8"/>
    <s v="South"/>
    <s v="Sophia Reed"/>
    <n v="2"/>
    <n v="320.51"/>
    <n v="0"/>
    <n v="641.02"/>
    <n v="152.76"/>
  </r>
  <r>
    <x v="108"/>
    <x v="84"/>
    <x v="1"/>
    <x v="3"/>
    <x v="3"/>
    <s v="Small Business"/>
    <x v="5"/>
    <s v="West"/>
    <s v="Noah Foster"/>
    <n v="15"/>
    <n v="97.19"/>
    <n v="0.05"/>
    <n v="1384.99"/>
    <n v="292.07"/>
  </r>
  <r>
    <x v="109"/>
    <x v="85"/>
    <x v="1"/>
    <x v="3"/>
    <x v="4"/>
    <s v="Corporate"/>
    <x v="2"/>
    <s v="Northeast"/>
    <s v="Sophia Reed"/>
    <n v="12"/>
    <n v="90.03"/>
    <n v="7.0000000000000007E-2"/>
    <n v="1004.68"/>
    <n v="186.08"/>
  </r>
  <r>
    <x v="110"/>
    <x v="86"/>
    <x v="1"/>
    <x v="2"/>
    <x v="12"/>
    <s v="Consumer"/>
    <x v="8"/>
    <s v="South"/>
    <s v="Liam Brooks"/>
    <n v="15"/>
    <n v="51.68"/>
    <n v="0"/>
    <n v="775.23"/>
    <n v="70.53"/>
  </r>
  <r>
    <x v="111"/>
    <x v="84"/>
    <x v="1"/>
    <x v="3"/>
    <x v="6"/>
    <s v="Small Business"/>
    <x v="8"/>
    <s v="South"/>
    <s v="Sophia Reed"/>
    <n v="10"/>
    <n v="85.21"/>
    <n v="0"/>
    <n v="852.08"/>
    <n v="163.81"/>
  </r>
  <r>
    <x v="112"/>
    <x v="87"/>
    <x v="0"/>
    <x v="1"/>
    <x v="9"/>
    <s v="Consumer"/>
    <x v="7"/>
    <s v="West"/>
    <s v="James Collins"/>
    <n v="6"/>
    <n v="1479.85"/>
    <n v="7.0000000000000007E-2"/>
    <n v="8257.5499999999993"/>
    <n v="1065.6199999999999"/>
  </r>
  <r>
    <x v="113"/>
    <x v="88"/>
    <x v="1"/>
    <x v="3"/>
    <x v="2"/>
    <s v="Small Business"/>
    <x v="8"/>
    <s v="South"/>
    <s v="James Collins"/>
    <n v="15"/>
    <n v="91.14"/>
    <n v="0.1"/>
    <n v="1230.43"/>
    <n v="190.49"/>
  </r>
  <r>
    <x v="114"/>
    <x v="89"/>
    <x v="1"/>
    <x v="2"/>
    <x v="1"/>
    <s v="Corporate"/>
    <x v="9"/>
    <s v="South"/>
    <s v="Liam Brooks"/>
    <n v="17"/>
    <n v="44.48"/>
    <n v="0"/>
    <n v="756.2"/>
    <n v="76.760000000000005"/>
  </r>
  <r>
    <x v="115"/>
    <x v="90"/>
    <x v="1"/>
    <x v="3"/>
    <x v="2"/>
    <s v="Consumer"/>
    <x v="1"/>
    <s v="South"/>
    <s v="Ava Bennett"/>
    <n v="2"/>
    <n v="83.95"/>
    <n v="0.1"/>
    <n v="151.12"/>
    <n v="13.6"/>
  </r>
  <r>
    <x v="116"/>
    <x v="91"/>
    <x v="1"/>
    <x v="3"/>
    <x v="6"/>
    <s v="Small Business"/>
    <x v="0"/>
    <s v="Midwest"/>
    <s v="Emma Carter"/>
    <n v="7"/>
    <n v="84.41"/>
    <n v="7.0000000000000007E-2"/>
    <n v="549.52"/>
    <n v="112.45"/>
  </r>
  <r>
    <x v="117"/>
    <x v="92"/>
    <x v="0"/>
    <x v="1"/>
    <x v="17"/>
    <s v="Small Business"/>
    <x v="4"/>
    <s v="West"/>
    <s v="Noah Foster"/>
    <n v="8"/>
    <n v="1321.82"/>
    <n v="0.03"/>
    <n v="10257.35"/>
    <n v="1661.42"/>
  </r>
  <r>
    <x v="118"/>
    <x v="85"/>
    <x v="2"/>
    <x v="5"/>
    <x v="7"/>
    <s v="Corporate"/>
    <x v="5"/>
    <s v="West"/>
    <s v="Ava Bennett"/>
    <n v="1"/>
    <n v="375.19"/>
    <n v="0.03"/>
    <n v="363.94"/>
    <n v="13.54"/>
  </r>
  <r>
    <x v="119"/>
    <x v="93"/>
    <x v="1"/>
    <x v="4"/>
    <x v="17"/>
    <s v="Consumer"/>
    <x v="0"/>
    <s v="Midwest"/>
    <s v="Emma Carter"/>
    <n v="13"/>
    <n v="29.69"/>
    <n v="0.03"/>
    <n v="374.34"/>
    <n v="39.340000000000003"/>
  </r>
  <r>
    <x v="120"/>
    <x v="94"/>
    <x v="2"/>
    <x v="8"/>
    <x v="0"/>
    <s v="Small Business"/>
    <x v="5"/>
    <s v="West"/>
    <s v="Ava Bennett"/>
    <n v="1"/>
    <n v="612.09"/>
    <n v="0.03"/>
    <n v="593.73"/>
    <n v="32.270000000000003"/>
  </r>
  <r>
    <x v="121"/>
    <x v="87"/>
    <x v="1"/>
    <x v="4"/>
    <x v="19"/>
    <s v="Small Business"/>
    <x v="8"/>
    <s v="South"/>
    <s v="James Collins"/>
    <n v="15"/>
    <n v="30.92"/>
    <n v="0.05"/>
    <n v="440.6"/>
    <n v="65.7"/>
  </r>
  <r>
    <x v="122"/>
    <x v="92"/>
    <x v="2"/>
    <x v="8"/>
    <x v="8"/>
    <s v="Consumer"/>
    <x v="8"/>
    <s v="South"/>
    <s v="Emma Carter"/>
    <n v="7"/>
    <n v="561.14"/>
    <n v="0"/>
    <n v="3927.98"/>
    <n v="842.04"/>
  </r>
  <r>
    <x v="123"/>
    <x v="95"/>
    <x v="1"/>
    <x v="3"/>
    <x v="10"/>
    <s v="Corporate"/>
    <x v="7"/>
    <s v="West"/>
    <s v="Noah Foster"/>
    <n v="2"/>
    <n v="90.61"/>
    <n v="0"/>
    <n v="181.23"/>
    <n v="2.97"/>
  </r>
  <r>
    <x v="124"/>
    <x v="96"/>
    <x v="0"/>
    <x v="7"/>
    <x v="0"/>
    <s v="Small Business"/>
    <x v="8"/>
    <s v="South"/>
    <s v="Ava Bennett"/>
    <n v="7"/>
    <n v="416.76"/>
    <n v="0.05"/>
    <n v="2771.43"/>
    <n v="605.22"/>
  </r>
  <r>
    <x v="125"/>
    <x v="97"/>
    <x v="1"/>
    <x v="2"/>
    <x v="1"/>
    <s v="Consumer"/>
    <x v="8"/>
    <s v="South"/>
    <s v="Emma Carter"/>
    <n v="18"/>
    <n v="55.05"/>
    <n v="0.03"/>
    <n v="961.21"/>
    <n v="87.81"/>
  </r>
  <r>
    <x v="126"/>
    <x v="97"/>
    <x v="0"/>
    <x v="1"/>
    <x v="7"/>
    <s v="Small Business"/>
    <x v="8"/>
    <s v="South"/>
    <s v="Liam Brooks"/>
    <n v="3"/>
    <n v="1548.8"/>
    <n v="0.1"/>
    <n v="4181.75"/>
    <n v="479.41"/>
  </r>
  <r>
    <x v="127"/>
    <x v="98"/>
    <x v="1"/>
    <x v="4"/>
    <x v="14"/>
    <s v="Small Business"/>
    <x v="9"/>
    <s v="South"/>
    <s v="James Collins"/>
    <n v="12"/>
    <n v="31.94"/>
    <n v="0.1"/>
    <n v="344.97"/>
    <n v="29.57"/>
  </r>
  <r>
    <x v="128"/>
    <x v="99"/>
    <x v="1"/>
    <x v="3"/>
    <x v="13"/>
    <s v="Consumer"/>
    <x v="0"/>
    <s v="Midwest"/>
    <s v="Emma Carter"/>
    <n v="13"/>
    <n v="84.93"/>
    <n v="0.03"/>
    <n v="1070.92"/>
    <n v="214.68"/>
  </r>
  <r>
    <x v="129"/>
    <x v="100"/>
    <x v="1"/>
    <x v="2"/>
    <x v="18"/>
    <s v="Consumer"/>
    <x v="8"/>
    <s v="South"/>
    <s v="Ava Bennett"/>
    <n v="14"/>
    <n v="54.69"/>
    <n v="7.0000000000000007E-2"/>
    <n v="712.09"/>
    <n v="99.66"/>
  </r>
  <r>
    <x v="130"/>
    <x v="101"/>
    <x v="1"/>
    <x v="3"/>
    <x v="6"/>
    <s v="Consumer"/>
    <x v="1"/>
    <s v="South"/>
    <s v="Noah Foster"/>
    <n v="18"/>
    <n v="83.16"/>
    <n v="0"/>
    <n v="1496.81"/>
    <n v="264.60000000000002"/>
  </r>
  <r>
    <x v="131"/>
    <x v="99"/>
    <x v="2"/>
    <x v="5"/>
    <x v="5"/>
    <s v="Corporate"/>
    <x v="4"/>
    <s v="West"/>
    <s v="Liam Brooks"/>
    <n v="8"/>
    <n v="353.88"/>
    <n v="7.0000000000000007E-2"/>
    <n v="2632.85"/>
    <n v="607.17999999999995"/>
  </r>
  <r>
    <x v="132"/>
    <x v="102"/>
    <x v="1"/>
    <x v="4"/>
    <x v="6"/>
    <s v="Consumer"/>
    <x v="7"/>
    <s v="West"/>
    <s v="Ava Bennett"/>
    <n v="3"/>
    <n v="34.92"/>
    <n v="0.1"/>
    <n v="94.28"/>
    <n v="-9.5"/>
  </r>
  <r>
    <x v="133"/>
    <x v="103"/>
    <x v="2"/>
    <x v="8"/>
    <x v="13"/>
    <s v="Consumer"/>
    <x v="0"/>
    <s v="Midwest"/>
    <s v="James Collins"/>
    <n v="3"/>
    <n v="574.64"/>
    <n v="7.0000000000000007E-2"/>
    <n v="1603.24"/>
    <n v="221.85"/>
  </r>
  <r>
    <x v="134"/>
    <x v="104"/>
    <x v="2"/>
    <x v="6"/>
    <x v="7"/>
    <s v="Consumer"/>
    <x v="7"/>
    <s v="West"/>
    <s v="James Collins"/>
    <n v="2"/>
    <n v="501.99"/>
    <n v="0.05"/>
    <n v="953.78"/>
    <n v="173.68"/>
  </r>
  <r>
    <x v="135"/>
    <x v="105"/>
    <x v="2"/>
    <x v="6"/>
    <x v="4"/>
    <s v="Consumer"/>
    <x v="4"/>
    <s v="West"/>
    <s v="James Collins"/>
    <n v="7"/>
    <n v="491.86"/>
    <n v="0"/>
    <n v="3443.01"/>
    <n v="720.8"/>
  </r>
  <r>
    <x v="136"/>
    <x v="106"/>
    <x v="1"/>
    <x v="4"/>
    <x v="0"/>
    <s v="Corporate"/>
    <x v="1"/>
    <s v="South"/>
    <s v="Liam Brooks"/>
    <n v="4"/>
    <n v="31.7"/>
    <n v="0"/>
    <n v="126.8"/>
    <n v="-12.17"/>
  </r>
  <r>
    <x v="137"/>
    <x v="107"/>
    <x v="0"/>
    <x v="0"/>
    <x v="18"/>
    <s v="Corporate"/>
    <x v="3"/>
    <s v="South"/>
    <s v="Ava Bennett"/>
    <n v="14"/>
    <n v="88.8"/>
    <n v="0"/>
    <n v="1243.17"/>
    <n v="302.56"/>
  </r>
  <r>
    <x v="138"/>
    <x v="108"/>
    <x v="2"/>
    <x v="8"/>
    <x v="2"/>
    <s v="Small Business"/>
    <x v="5"/>
    <s v="West"/>
    <s v="James Collins"/>
    <n v="4"/>
    <n v="739.28"/>
    <n v="7.0000000000000007E-2"/>
    <n v="2750.14"/>
    <n v="399.46"/>
  </r>
  <r>
    <x v="139"/>
    <x v="103"/>
    <x v="0"/>
    <x v="0"/>
    <x v="10"/>
    <s v="Small Business"/>
    <x v="1"/>
    <s v="South"/>
    <s v="Liam Brooks"/>
    <n v="13"/>
    <n v="101.48"/>
    <n v="7.0000000000000007E-2"/>
    <n v="1226.95"/>
    <n v="349.62"/>
  </r>
  <r>
    <x v="140"/>
    <x v="102"/>
    <x v="1"/>
    <x v="3"/>
    <x v="2"/>
    <s v="Corporate"/>
    <x v="4"/>
    <s v="West"/>
    <s v="Liam Brooks"/>
    <n v="6"/>
    <n v="90.12"/>
    <n v="0"/>
    <n v="540.71"/>
    <n v="69.42"/>
  </r>
  <r>
    <x v="141"/>
    <x v="109"/>
    <x v="2"/>
    <x v="6"/>
    <x v="10"/>
    <s v="Corporate"/>
    <x v="8"/>
    <s v="South"/>
    <s v="Liam Brooks"/>
    <n v="5"/>
    <n v="512.32000000000005"/>
    <n v="7.0000000000000007E-2"/>
    <n v="2382.31"/>
    <n v="408.92"/>
  </r>
  <r>
    <x v="142"/>
    <x v="110"/>
    <x v="1"/>
    <x v="4"/>
    <x v="2"/>
    <s v="Corporate"/>
    <x v="5"/>
    <s v="West"/>
    <s v="Noah Foster"/>
    <n v="18"/>
    <n v="36.07"/>
    <n v="0.05"/>
    <n v="616.73"/>
    <n v="118.97"/>
  </r>
  <r>
    <x v="143"/>
    <x v="111"/>
    <x v="1"/>
    <x v="2"/>
    <x v="7"/>
    <s v="Corporate"/>
    <x v="3"/>
    <s v="South"/>
    <s v="Emma Carter"/>
    <n v="11"/>
    <n v="51.3"/>
    <n v="0.05"/>
    <n v="536.09"/>
    <n v="80.98"/>
  </r>
  <r>
    <x v="144"/>
    <x v="112"/>
    <x v="1"/>
    <x v="3"/>
    <x v="4"/>
    <s v="Corporate"/>
    <x v="5"/>
    <s v="West"/>
    <s v="Sophia Reed"/>
    <n v="8"/>
    <n v="102.89"/>
    <n v="7.0000000000000007E-2"/>
    <n v="765.49"/>
    <n v="154.47"/>
  </r>
  <r>
    <x v="145"/>
    <x v="111"/>
    <x v="0"/>
    <x v="7"/>
    <x v="10"/>
    <s v="Corporate"/>
    <x v="1"/>
    <s v="South"/>
    <s v="Emma Carter"/>
    <n v="4"/>
    <n v="384.75"/>
    <n v="7.0000000000000007E-2"/>
    <n v="1431.26"/>
    <n v="278.76"/>
  </r>
  <r>
    <x v="146"/>
    <x v="112"/>
    <x v="2"/>
    <x v="6"/>
    <x v="1"/>
    <s v="Consumer"/>
    <x v="5"/>
    <s v="West"/>
    <s v="Liam Brooks"/>
    <n v="3"/>
    <n v="547.41"/>
    <n v="0"/>
    <n v="1642.23"/>
    <n v="350.23"/>
  </r>
  <r>
    <x v="147"/>
    <x v="111"/>
    <x v="0"/>
    <x v="0"/>
    <x v="1"/>
    <s v="Small Business"/>
    <x v="8"/>
    <s v="South"/>
    <s v="Emma Carter"/>
    <n v="18"/>
    <n v="102.61"/>
    <n v="7.0000000000000007E-2"/>
    <n v="1717.74"/>
    <n v="462.38"/>
  </r>
  <r>
    <x v="148"/>
    <x v="113"/>
    <x v="0"/>
    <x v="0"/>
    <x v="16"/>
    <s v="Small Business"/>
    <x v="7"/>
    <s v="West"/>
    <s v="James Collins"/>
    <n v="2"/>
    <n v="98.12"/>
    <n v="0"/>
    <n v="196.24"/>
    <n v="-52.18"/>
  </r>
  <r>
    <x v="149"/>
    <x v="111"/>
    <x v="2"/>
    <x v="6"/>
    <x v="7"/>
    <s v="Corporate"/>
    <x v="3"/>
    <s v="South"/>
    <s v="Sophia Reed"/>
    <n v="6"/>
    <n v="483.54"/>
    <n v="0"/>
    <n v="2901.22"/>
    <n v="664.31"/>
  </r>
  <r>
    <x v="150"/>
    <x v="114"/>
    <x v="2"/>
    <x v="5"/>
    <x v="4"/>
    <s v="Consumer"/>
    <x v="2"/>
    <s v="Northeast"/>
    <s v="Noah Foster"/>
    <n v="1"/>
    <n v="356.78"/>
    <n v="0"/>
    <n v="356.78"/>
    <n v="-30.11"/>
  </r>
  <r>
    <x v="151"/>
    <x v="115"/>
    <x v="1"/>
    <x v="3"/>
    <x v="12"/>
    <s v="Small Business"/>
    <x v="7"/>
    <s v="West"/>
    <s v="Sophia Reed"/>
    <n v="3"/>
    <n v="91.43"/>
    <n v="0"/>
    <n v="274.27999999999997"/>
    <n v="0.57999999999999996"/>
  </r>
  <r>
    <x v="152"/>
    <x v="111"/>
    <x v="2"/>
    <x v="8"/>
    <x v="9"/>
    <s v="Small Business"/>
    <x v="0"/>
    <s v="Midwest"/>
    <s v="Noah Foster"/>
    <n v="7"/>
    <n v="597.20000000000005"/>
    <n v="0.05"/>
    <n v="3971.41"/>
    <n v="710.12"/>
  </r>
  <r>
    <x v="153"/>
    <x v="116"/>
    <x v="1"/>
    <x v="3"/>
    <x v="4"/>
    <s v="Consumer"/>
    <x v="0"/>
    <s v="Midwest"/>
    <s v="Noah Foster"/>
    <n v="4"/>
    <n v="82.52"/>
    <n v="0"/>
    <n v="330.09"/>
    <n v="46.26"/>
  </r>
  <r>
    <x v="154"/>
    <x v="117"/>
    <x v="1"/>
    <x v="3"/>
    <x v="10"/>
    <s v="Small Business"/>
    <x v="0"/>
    <s v="Midwest"/>
    <s v="Ava Bennett"/>
    <n v="15"/>
    <n v="79.47"/>
    <n v="0.05"/>
    <n v="1132.52"/>
    <n v="216.24"/>
  </r>
  <r>
    <x v="155"/>
    <x v="118"/>
    <x v="2"/>
    <x v="8"/>
    <x v="3"/>
    <s v="Corporate"/>
    <x v="0"/>
    <s v="Midwest"/>
    <s v="James Collins"/>
    <n v="7"/>
    <n v="566.77"/>
    <n v="0.1"/>
    <n v="3570.68"/>
    <n v="655.07000000000005"/>
  </r>
  <r>
    <x v="156"/>
    <x v="119"/>
    <x v="0"/>
    <x v="1"/>
    <x v="0"/>
    <s v="Consumer"/>
    <x v="8"/>
    <s v="South"/>
    <s v="Sophia Reed"/>
    <n v="6"/>
    <n v="1582.8"/>
    <n v="7.0000000000000007E-2"/>
    <n v="8832.0499999999993"/>
    <n v="1219.58"/>
  </r>
  <r>
    <x v="157"/>
    <x v="120"/>
    <x v="1"/>
    <x v="4"/>
    <x v="4"/>
    <s v="Consumer"/>
    <x v="6"/>
    <s v="West"/>
    <s v="Liam Brooks"/>
    <n v="18"/>
    <n v="31.12"/>
    <n v="0.03"/>
    <n v="543.30999999999995"/>
    <n v="90.78"/>
  </r>
  <r>
    <x v="158"/>
    <x v="121"/>
    <x v="0"/>
    <x v="0"/>
    <x v="11"/>
    <s v="Consumer"/>
    <x v="2"/>
    <s v="Northeast"/>
    <s v="Noah Foster"/>
    <n v="5"/>
    <n v="111.67"/>
    <n v="0.03"/>
    <n v="541.61"/>
    <n v="125.46"/>
  </r>
  <r>
    <x v="159"/>
    <x v="122"/>
    <x v="1"/>
    <x v="3"/>
    <x v="17"/>
    <s v="Corporate"/>
    <x v="6"/>
    <s v="West"/>
    <s v="Liam Brooks"/>
    <n v="4"/>
    <n v="84.35"/>
    <n v="0.1"/>
    <n v="303.66000000000003"/>
    <n v="49.4"/>
  </r>
  <r>
    <x v="160"/>
    <x v="123"/>
    <x v="2"/>
    <x v="8"/>
    <x v="12"/>
    <s v="Consumer"/>
    <x v="8"/>
    <s v="South"/>
    <s v="Sophia Reed"/>
    <n v="5"/>
    <n v="701.91"/>
    <n v="0.1"/>
    <n v="3158.61"/>
    <n v="601.55999999999995"/>
  </r>
  <r>
    <x v="161"/>
    <x v="119"/>
    <x v="1"/>
    <x v="3"/>
    <x v="9"/>
    <s v="Corporate"/>
    <x v="1"/>
    <s v="South"/>
    <s v="Liam Brooks"/>
    <n v="9"/>
    <n v="95.77"/>
    <n v="0"/>
    <n v="861.95"/>
    <n v="135.91"/>
  </r>
  <r>
    <x v="162"/>
    <x v="124"/>
    <x v="2"/>
    <x v="5"/>
    <x v="4"/>
    <s v="Corporate"/>
    <x v="9"/>
    <s v="South"/>
    <s v="Sophia Reed"/>
    <n v="7"/>
    <n v="354.77"/>
    <n v="0.1"/>
    <n v="2235.08"/>
    <n v="471.06"/>
  </r>
  <r>
    <x v="163"/>
    <x v="125"/>
    <x v="2"/>
    <x v="5"/>
    <x v="6"/>
    <s v="Consumer"/>
    <x v="2"/>
    <s v="Northeast"/>
    <s v="Emma Carter"/>
    <n v="8"/>
    <n v="392.14"/>
    <n v="7.0000000000000007E-2"/>
    <n v="2917.54"/>
    <n v="548"/>
  </r>
  <r>
    <x v="164"/>
    <x v="122"/>
    <x v="2"/>
    <x v="6"/>
    <x v="7"/>
    <s v="Small Business"/>
    <x v="2"/>
    <s v="Northeast"/>
    <s v="Ava Bennett"/>
    <n v="1"/>
    <n v="611.05999999999995"/>
    <n v="7.0000000000000007E-2"/>
    <n v="568.28"/>
    <n v="71.86"/>
  </r>
  <r>
    <x v="165"/>
    <x v="121"/>
    <x v="2"/>
    <x v="5"/>
    <x v="1"/>
    <s v="Small Business"/>
    <x v="3"/>
    <s v="South"/>
    <s v="Emma Carter"/>
    <n v="5"/>
    <n v="321.14"/>
    <n v="7.0000000000000007E-2"/>
    <n v="1493.3"/>
    <n v="238.67"/>
  </r>
  <r>
    <x v="166"/>
    <x v="126"/>
    <x v="2"/>
    <x v="5"/>
    <x v="5"/>
    <s v="Consumer"/>
    <x v="4"/>
    <s v="West"/>
    <s v="Ava Bennett"/>
    <n v="3"/>
    <n v="333.17"/>
    <n v="7.0000000000000007E-2"/>
    <n v="929.54"/>
    <n v="151.6"/>
  </r>
  <r>
    <x v="167"/>
    <x v="127"/>
    <x v="0"/>
    <x v="1"/>
    <x v="3"/>
    <s v="Consumer"/>
    <x v="8"/>
    <s v="South"/>
    <s v="Ava Bennett"/>
    <n v="5"/>
    <n v="1642.64"/>
    <n v="7.0000000000000007E-2"/>
    <n v="7638.25"/>
    <n v="1257.25"/>
  </r>
  <r>
    <x v="168"/>
    <x v="124"/>
    <x v="2"/>
    <x v="6"/>
    <x v="10"/>
    <s v="Small Business"/>
    <x v="0"/>
    <s v="Midwest"/>
    <s v="Liam Brooks"/>
    <n v="7"/>
    <n v="498.08"/>
    <n v="0"/>
    <n v="3486.59"/>
    <n v="835.36"/>
  </r>
  <r>
    <x v="169"/>
    <x v="128"/>
    <x v="1"/>
    <x v="4"/>
    <x v="6"/>
    <s v="Consumer"/>
    <x v="1"/>
    <s v="South"/>
    <s v="Liam Brooks"/>
    <n v="12"/>
    <n v="36.090000000000003"/>
    <n v="0.03"/>
    <n v="420.13"/>
    <n v="37.74"/>
  </r>
  <r>
    <x v="170"/>
    <x v="129"/>
    <x v="0"/>
    <x v="7"/>
    <x v="12"/>
    <s v="Corporate"/>
    <x v="4"/>
    <s v="West"/>
    <s v="Sophia Reed"/>
    <n v="4"/>
    <n v="407.36"/>
    <n v="0.03"/>
    <n v="1580.57"/>
    <n v="307.26"/>
  </r>
  <r>
    <x v="171"/>
    <x v="127"/>
    <x v="1"/>
    <x v="4"/>
    <x v="2"/>
    <s v="Corporate"/>
    <x v="9"/>
    <s v="South"/>
    <s v="Liam Brooks"/>
    <n v="12"/>
    <n v="33.96"/>
    <n v="0.1"/>
    <n v="366.79"/>
    <n v="17.190000000000001"/>
  </r>
  <r>
    <x v="172"/>
    <x v="126"/>
    <x v="2"/>
    <x v="8"/>
    <x v="10"/>
    <s v="Small Business"/>
    <x v="6"/>
    <s v="West"/>
    <s v="Emma Carter"/>
    <n v="2"/>
    <n v="625.08000000000004"/>
    <n v="7.0000000000000007E-2"/>
    <n v="1162.6600000000001"/>
    <n v="181.19"/>
  </r>
  <r>
    <x v="173"/>
    <x v="130"/>
    <x v="1"/>
    <x v="2"/>
    <x v="10"/>
    <s v="Small Business"/>
    <x v="5"/>
    <s v="West"/>
    <s v="Ava Bennett"/>
    <n v="17"/>
    <n v="61.41"/>
    <n v="0"/>
    <n v="1043.8900000000001"/>
    <n v="173.31"/>
  </r>
  <r>
    <x v="174"/>
    <x v="131"/>
    <x v="1"/>
    <x v="4"/>
    <x v="8"/>
    <s v="Corporate"/>
    <x v="5"/>
    <s v="West"/>
    <s v="Ava Bennett"/>
    <n v="8"/>
    <n v="39.94"/>
    <n v="0.03"/>
    <n v="309.89999999999998"/>
    <n v="13.32"/>
  </r>
  <r>
    <x v="175"/>
    <x v="132"/>
    <x v="1"/>
    <x v="3"/>
    <x v="9"/>
    <s v="Corporate"/>
    <x v="9"/>
    <s v="South"/>
    <s v="Emma Carter"/>
    <n v="14"/>
    <n v="87.16"/>
    <n v="0.03"/>
    <n v="1183.6199999999999"/>
    <n v="232.36"/>
  </r>
  <r>
    <x v="176"/>
    <x v="133"/>
    <x v="0"/>
    <x v="0"/>
    <x v="8"/>
    <s v="Consumer"/>
    <x v="4"/>
    <s v="West"/>
    <s v="Emma Carter"/>
    <n v="3"/>
    <n v="99.02"/>
    <n v="0.1"/>
    <n v="267.36"/>
    <n v="-1.95"/>
  </r>
  <r>
    <x v="177"/>
    <x v="134"/>
    <x v="0"/>
    <x v="0"/>
    <x v="7"/>
    <s v="Small Business"/>
    <x v="4"/>
    <s v="West"/>
    <s v="Ava Bennett"/>
    <n v="12"/>
    <n v="100.84"/>
    <n v="7.0000000000000007E-2"/>
    <n v="1125.33"/>
    <n v="308.05"/>
  </r>
  <r>
    <x v="178"/>
    <x v="135"/>
    <x v="2"/>
    <x v="6"/>
    <x v="11"/>
    <s v="Consumer"/>
    <x v="4"/>
    <s v="West"/>
    <s v="Ava Bennett"/>
    <n v="5"/>
    <n v="533.28"/>
    <n v="0"/>
    <n v="2666.41"/>
    <n v="492.53"/>
  </r>
  <r>
    <x v="179"/>
    <x v="136"/>
    <x v="2"/>
    <x v="8"/>
    <x v="18"/>
    <s v="Small Business"/>
    <x v="5"/>
    <s v="West"/>
    <s v="Sophia Reed"/>
    <n v="4"/>
    <n v="779.28"/>
    <n v="7.0000000000000007E-2"/>
    <n v="2898.93"/>
    <n v="503.89"/>
  </r>
  <r>
    <x v="180"/>
    <x v="137"/>
    <x v="1"/>
    <x v="2"/>
    <x v="3"/>
    <s v="Consumer"/>
    <x v="1"/>
    <s v="South"/>
    <s v="James Collins"/>
    <n v="5"/>
    <n v="54.66"/>
    <n v="0.05"/>
    <n v="259.66000000000003"/>
    <n v="20.92"/>
  </r>
  <r>
    <x v="181"/>
    <x v="138"/>
    <x v="1"/>
    <x v="3"/>
    <x v="11"/>
    <s v="Consumer"/>
    <x v="9"/>
    <s v="South"/>
    <s v="James Collins"/>
    <n v="3"/>
    <n v="91.25"/>
    <n v="7.0000000000000007E-2"/>
    <n v="254.58"/>
    <n v="21.78"/>
  </r>
  <r>
    <x v="182"/>
    <x v="139"/>
    <x v="2"/>
    <x v="8"/>
    <x v="5"/>
    <s v="Small Business"/>
    <x v="3"/>
    <s v="South"/>
    <s v="Ava Bennett"/>
    <n v="6"/>
    <n v="625.51"/>
    <n v="0.1"/>
    <n v="3377.74"/>
    <n v="667.21"/>
  </r>
  <r>
    <x v="183"/>
    <x v="140"/>
    <x v="2"/>
    <x v="8"/>
    <x v="11"/>
    <s v="Corporate"/>
    <x v="9"/>
    <s v="South"/>
    <s v="Liam Brooks"/>
    <n v="5"/>
    <n v="620.07000000000005"/>
    <n v="0"/>
    <n v="3100.33"/>
    <n v="620.79999999999995"/>
  </r>
  <r>
    <x v="184"/>
    <x v="141"/>
    <x v="2"/>
    <x v="5"/>
    <x v="6"/>
    <s v="Small Business"/>
    <x v="6"/>
    <s v="West"/>
    <s v="Sophia Reed"/>
    <n v="5"/>
    <n v="329.49"/>
    <n v="7.0000000000000007E-2"/>
    <n v="1532.11"/>
    <n v="331.06"/>
  </r>
  <r>
    <x v="185"/>
    <x v="137"/>
    <x v="1"/>
    <x v="2"/>
    <x v="3"/>
    <s v="Small Business"/>
    <x v="0"/>
    <s v="Midwest"/>
    <s v="James Collins"/>
    <n v="4"/>
    <n v="54.27"/>
    <n v="0.05"/>
    <n v="206.22"/>
    <n v="-10.45"/>
  </r>
  <r>
    <x v="186"/>
    <x v="142"/>
    <x v="0"/>
    <x v="0"/>
    <x v="12"/>
    <s v="Consumer"/>
    <x v="0"/>
    <s v="Midwest"/>
    <s v="Sophia Reed"/>
    <n v="6"/>
    <n v="99.06"/>
    <n v="0.1"/>
    <n v="534.94000000000005"/>
    <n v="114.45"/>
  </r>
  <r>
    <x v="187"/>
    <x v="131"/>
    <x v="0"/>
    <x v="0"/>
    <x v="3"/>
    <s v="Corporate"/>
    <x v="1"/>
    <s v="South"/>
    <s v="Noah Foster"/>
    <n v="12"/>
    <n v="111.13"/>
    <n v="0"/>
    <n v="1333.55"/>
    <n v="387.67"/>
  </r>
  <r>
    <x v="188"/>
    <x v="139"/>
    <x v="0"/>
    <x v="7"/>
    <x v="11"/>
    <s v="Consumer"/>
    <x v="6"/>
    <s v="West"/>
    <s v="Liam Brooks"/>
    <n v="5"/>
    <n v="388.13"/>
    <n v="0.1"/>
    <n v="1746.61"/>
    <n v="210.29"/>
  </r>
  <r>
    <x v="189"/>
    <x v="138"/>
    <x v="2"/>
    <x v="5"/>
    <x v="3"/>
    <s v="Corporate"/>
    <x v="4"/>
    <s v="West"/>
    <s v="Noah Foster"/>
    <n v="3"/>
    <n v="382.62"/>
    <n v="0"/>
    <n v="1147.8599999999999"/>
    <n v="261.93"/>
  </r>
  <r>
    <x v="190"/>
    <x v="131"/>
    <x v="0"/>
    <x v="0"/>
    <x v="3"/>
    <s v="Corporate"/>
    <x v="0"/>
    <s v="Midwest"/>
    <s v="Sophia Reed"/>
    <n v="5"/>
    <n v="110.96"/>
    <n v="0.03"/>
    <n v="538.14"/>
    <n v="14.95"/>
  </r>
  <r>
    <x v="191"/>
    <x v="143"/>
    <x v="0"/>
    <x v="0"/>
    <x v="13"/>
    <s v="Corporate"/>
    <x v="6"/>
    <s v="West"/>
    <s v="Emma Carter"/>
    <n v="12"/>
    <n v="75.099999999999994"/>
    <n v="0.05"/>
    <n v="856.13"/>
    <n v="164.91"/>
  </r>
  <r>
    <x v="192"/>
    <x v="144"/>
    <x v="2"/>
    <x v="8"/>
    <x v="14"/>
    <s v="Consumer"/>
    <x v="0"/>
    <s v="Midwest"/>
    <s v="Liam Brooks"/>
    <n v="3"/>
    <n v="515.15"/>
    <n v="0.1"/>
    <n v="1390.89"/>
    <n v="214.73"/>
  </r>
  <r>
    <x v="193"/>
    <x v="145"/>
    <x v="1"/>
    <x v="2"/>
    <x v="9"/>
    <s v="Corporate"/>
    <x v="7"/>
    <s v="West"/>
    <s v="Liam Brooks"/>
    <n v="17"/>
    <n v="45.4"/>
    <n v="0"/>
    <n v="771.82"/>
    <n v="63.91"/>
  </r>
  <r>
    <x v="194"/>
    <x v="146"/>
    <x v="1"/>
    <x v="4"/>
    <x v="14"/>
    <s v="Consumer"/>
    <x v="0"/>
    <s v="Midwest"/>
    <s v="Ava Bennett"/>
    <n v="2"/>
    <n v="26.42"/>
    <n v="0.03"/>
    <n v="51.25"/>
    <n v="-2.2200000000000002"/>
  </r>
  <r>
    <x v="195"/>
    <x v="147"/>
    <x v="1"/>
    <x v="4"/>
    <x v="8"/>
    <s v="Consumer"/>
    <x v="2"/>
    <s v="Northeast"/>
    <s v="Ava Bennett"/>
    <n v="11"/>
    <n v="31.96"/>
    <n v="0.1"/>
    <n v="316.45"/>
    <n v="48.81"/>
  </r>
  <r>
    <x v="196"/>
    <x v="148"/>
    <x v="0"/>
    <x v="1"/>
    <x v="11"/>
    <s v="Corporate"/>
    <x v="2"/>
    <s v="Northeast"/>
    <s v="Noah Foster"/>
    <n v="6"/>
    <n v="1374.1"/>
    <n v="7.0000000000000007E-2"/>
    <n v="7667.46"/>
    <n v="1591.24"/>
  </r>
  <r>
    <x v="197"/>
    <x v="149"/>
    <x v="0"/>
    <x v="0"/>
    <x v="4"/>
    <s v="Consumer"/>
    <x v="9"/>
    <s v="South"/>
    <s v="Noah Foster"/>
    <n v="18"/>
    <n v="81.86"/>
    <n v="0"/>
    <n v="1473.53"/>
    <n v="466.86"/>
  </r>
  <r>
    <x v="198"/>
    <x v="150"/>
    <x v="2"/>
    <x v="5"/>
    <x v="12"/>
    <s v="Corporate"/>
    <x v="9"/>
    <s v="South"/>
    <s v="Liam Brooks"/>
    <n v="6"/>
    <n v="284.97000000000003"/>
    <n v="0.05"/>
    <n v="1624.33"/>
    <n v="293.24"/>
  </r>
  <r>
    <x v="199"/>
    <x v="151"/>
    <x v="1"/>
    <x v="2"/>
    <x v="15"/>
    <s v="Corporate"/>
    <x v="4"/>
    <s v="West"/>
    <s v="Noah Foster"/>
    <n v="6"/>
    <n v="44.43"/>
    <n v="0.05"/>
    <n v="253.22"/>
    <n v="5.3"/>
  </r>
  <r>
    <x v="200"/>
    <x v="149"/>
    <x v="2"/>
    <x v="5"/>
    <x v="13"/>
    <s v="Corporate"/>
    <x v="7"/>
    <s v="West"/>
    <s v="James Collins"/>
    <n v="4"/>
    <n v="303.17"/>
    <n v="0"/>
    <n v="1212.69"/>
    <n v="183.24"/>
  </r>
  <r>
    <x v="201"/>
    <x v="152"/>
    <x v="0"/>
    <x v="1"/>
    <x v="3"/>
    <s v="Small Business"/>
    <x v="6"/>
    <s v="West"/>
    <s v="Noah Foster"/>
    <n v="3"/>
    <n v="1201.79"/>
    <n v="0.1"/>
    <n v="3244.84"/>
    <n v="640.71"/>
  </r>
  <r>
    <x v="202"/>
    <x v="153"/>
    <x v="1"/>
    <x v="4"/>
    <x v="8"/>
    <s v="Small Business"/>
    <x v="6"/>
    <s v="West"/>
    <s v="Emma Carter"/>
    <n v="6"/>
    <n v="26.5"/>
    <n v="0.03"/>
    <n v="154.26"/>
    <n v="-34.86"/>
  </r>
  <r>
    <x v="203"/>
    <x v="154"/>
    <x v="2"/>
    <x v="5"/>
    <x v="19"/>
    <s v="Corporate"/>
    <x v="1"/>
    <s v="South"/>
    <s v="Sophia Reed"/>
    <n v="8"/>
    <n v="298.44"/>
    <n v="7.0000000000000007E-2"/>
    <n v="2220.38"/>
    <n v="460.21"/>
  </r>
  <r>
    <x v="204"/>
    <x v="143"/>
    <x v="0"/>
    <x v="7"/>
    <x v="7"/>
    <s v="Small Business"/>
    <x v="3"/>
    <s v="South"/>
    <s v="Liam Brooks"/>
    <n v="2"/>
    <n v="300.91000000000003"/>
    <n v="0.1"/>
    <n v="541.64"/>
    <n v="4.84"/>
  </r>
  <r>
    <x v="205"/>
    <x v="155"/>
    <x v="0"/>
    <x v="1"/>
    <x v="9"/>
    <s v="Consumer"/>
    <x v="8"/>
    <s v="South"/>
    <s v="Emma Carter"/>
    <n v="8"/>
    <n v="1334.99"/>
    <n v="0.1"/>
    <n v="9611.9599999999991"/>
    <n v="2047.06"/>
  </r>
  <r>
    <x v="206"/>
    <x v="150"/>
    <x v="1"/>
    <x v="4"/>
    <x v="12"/>
    <s v="Corporate"/>
    <x v="1"/>
    <s v="South"/>
    <s v="Emma Carter"/>
    <n v="6"/>
    <n v="28.15"/>
    <n v="0.03"/>
    <n v="163.85"/>
    <n v="-27.79"/>
  </r>
  <r>
    <x v="207"/>
    <x v="155"/>
    <x v="1"/>
    <x v="3"/>
    <x v="6"/>
    <s v="Corporate"/>
    <x v="9"/>
    <s v="South"/>
    <s v="Sophia Reed"/>
    <n v="6"/>
    <n v="74.98"/>
    <n v="7.0000000000000007E-2"/>
    <n v="418.37"/>
    <n v="54.42"/>
  </r>
  <r>
    <x v="208"/>
    <x v="156"/>
    <x v="2"/>
    <x v="6"/>
    <x v="12"/>
    <s v="Small Business"/>
    <x v="7"/>
    <s v="West"/>
    <s v="Emma Carter"/>
    <n v="6"/>
    <n v="487.32"/>
    <n v="0.1"/>
    <n v="2631.5"/>
    <n v="504.94"/>
  </r>
  <r>
    <x v="209"/>
    <x v="157"/>
    <x v="1"/>
    <x v="2"/>
    <x v="8"/>
    <s v="Corporate"/>
    <x v="0"/>
    <s v="Midwest"/>
    <s v="Ava Bennett"/>
    <n v="17"/>
    <n v="43.71"/>
    <n v="0"/>
    <n v="743.05"/>
    <n v="63.9"/>
  </r>
  <r>
    <x v="210"/>
    <x v="157"/>
    <x v="0"/>
    <x v="0"/>
    <x v="2"/>
    <s v="Consumer"/>
    <x v="7"/>
    <s v="West"/>
    <s v="Ava Bennett"/>
    <n v="6"/>
    <n v="89.37"/>
    <n v="0.03"/>
    <n v="520.13"/>
    <n v="45.38"/>
  </r>
  <r>
    <x v="211"/>
    <x v="158"/>
    <x v="1"/>
    <x v="2"/>
    <x v="17"/>
    <s v="Corporate"/>
    <x v="4"/>
    <s v="West"/>
    <s v="Sophia Reed"/>
    <n v="14"/>
    <n v="46.89"/>
    <n v="7.0000000000000007E-2"/>
    <n v="610.53"/>
    <n v="61.8"/>
  </r>
  <r>
    <x v="212"/>
    <x v="159"/>
    <x v="2"/>
    <x v="6"/>
    <x v="17"/>
    <s v="Small Business"/>
    <x v="4"/>
    <s v="West"/>
    <s v="Liam Brooks"/>
    <n v="6"/>
    <n v="425.61"/>
    <n v="0"/>
    <n v="2553.66"/>
    <n v="487.02"/>
  </r>
  <r>
    <x v="213"/>
    <x v="157"/>
    <x v="2"/>
    <x v="8"/>
    <x v="18"/>
    <s v="Consumer"/>
    <x v="1"/>
    <s v="South"/>
    <s v="Liam Brooks"/>
    <n v="7"/>
    <n v="570.65"/>
    <n v="7.0000000000000007E-2"/>
    <n v="3714.96"/>
    <n v="644.37"/>
  </r>
  <r>
    <x v="214"/>
    <x v="160"/>
    <x v="2"/>
    <x v="6"/>
    <x v="10"/>
    <s v="Small Business"/>
    <x v="3"/>
    <s v="South"/>
    <s v="Sophia Reed"/>
    <n v="8"/>
    <n v="418.24"/>
    <n v="0.1"/>
    <n v="3011.31"/>
    <n v="577.82000000000005"/>
  </r>
  <r>
    <x v="215"/>
    <x v="156"/>
    <x v="1"/>
    <x v="4"/>
    <x v="3"/>
    <s v="Consumer"/>
    <x v="7"/>
    <s v="West"/>
    <s v="Liam Brooks"/>
    <n v="6"/>
    <n v="27.9"/>
    <n v="7.0000000000000007E-2"/>
    <n v="155.66"/>
    <n v="-2.5099999999999998"/>
  </r>
  <r>
    <x v="216"/>
    <x v="161"/>
    <x v="1"/>
    <x v="2"/>
    <x v="6"/>
    <s v="Corporate"/>
    <x v="1"/>
    <s v="South"/>
    <s v="Noah Foster"/>
    <n v="9"/>
    <n v="46.69"/>
    <n v="0.1"/>
    <n v="378.2"/>
    <n v="50.62"/>
  </r>
  <r>
    <x v="217"/>
    <x v="162"/>
    <x v="2"/>
    <x v="6"/>
    <x v="15"/>
    <s v="Corporate"/>
    <x v="6"/>
    <s v="West"/>
    <s v="James Collins"/>
    <n v="6"/>
    <n v="392.69"/>
    <n v="0.1"/>
    <n v="2120.5100000000002"/>
    <n v="461.04"/>
  </r>
  <r>
    <x v="218"/>
    <x v="163"/>
    <x v="2"/>
    <x v="5"/>
    <x v="3"/>
    <s v="Corporate"/>
    <x v="4"/>
    <s v="West"/>
    <s v="James Collins"/>
    <n v="1"/>
    <n v="305.89999999999998"/>
    <n v="0.05"/>
    <n v="290.61"/>
    <n v="-35.81"/>
  </r>
  <r>
    <x v="219"/>
    <x v="161"/>
    <x v="2"/>
    <x v="5"/>
    <x v="17"/>
    <s v="Consumer"/>
    <x v="5"/>
    <s v="West"/>
    <s v="Noah Foster"/>
    <n v="6"/>
    <n v="323.75"/>
    <n v="0.1"/>
    <n v="1748.26"/>
    <n v="358.66"/>
  </r>
  <r>
    <x v="220"/>
    <x v="164"/>
    <x v="2"/>
    <x v="8"/>
    <x v="19"/>
    <s v="Consumer"/>
    <x v="5"/>
    <s v="West"/>
    <s v="Ava Bennett"/>
    <n v="7"/>
    <n v="576.36"/>
    <n v="7.0000000000000007E-2"/>
    <n v="3752.09"/>
    <n v="757.6"/>
  </r>
  <r>
    <x v="221"/>
    <x v="165"/>
    <x v="0"/>
    <x v="0"/>
    <x v="5"/>
    <s v="Corporate"/>
    <x v="7"/>
    <s v="West"/>
    <s v="Emma Carter"/>
    <n v="18"/>
    <n v="86.36"/>
    <n v="0"/>
    <n v="1554.4"/>
    <n v="436.82"/>
  </r>
  <r>
    <x v="222"/>
    <x v="163"/>
    <x v="1"/>
    <x v="4"/>
    <x v="16"/>
    <s v="Small Business"/>
    <x v="8"/>
    <s v="South"/>
    <s v="Noah Foster"/>
    <n v="9"/>
    <n v="32.54"/>
    <n v="0"/>
    <n v="292.83"/>
    <n v="0.43"/>
  </r>
  <r>
    <x v="223"/>
    <x v="166"/>
    <x v="0"/>
    <x v="7"/>
    <x v="8"/>
    <s v="Consumer"/>
    <x v="7"/>
    <s v="West"/>
    <s v="Noah Foster"/>
    <n v="1"/>
    <n v="381.66"/>
    <n v="0.1"/>
    <n v="343.49"/>
    <n v="-15.36"/>
  </r>
  <r>
    <x v="224"/>
    <x v="167"/>
    <x v="2"/>
    <x v="8"/>
    <x v="9"/>
    <s v="Consumer"/>
    <x v="9"/>
    <s v="South"/>
    <s v="Emma Carter"/>
    <n v="4"/>
    <n v="498.06"/>
    <n v="0.1"/>
    <n v="1793.02"/>
    <n v="350.43"/>
  </r>
  <r>
    <x v="225"/>
    <x v="168"/>
    <x v="0"/>
    <x v="0"/>
    <x v="12"/>
    <s v="Consumer"/>
    <x v="0"/>
    <s v="Midwest"/>
    <s v="James Collins"/>
    <n v="3"/>
    <n v="84.41"/>
    <n v="0.03"/>
    <n v="245.64"/>
    <n v="15.39"/>
  </r>
  <r>
    <x v="226"/>
    <x v="169"/>
    <x v="2"/>
    <x v="8"/>
    <x v="10"/>
    <s v="Corporate"/>
    <x v="8"/>
    <s v="South"/>
    <s v="Ava Bennett"/>
    <n v="4"/>
    <n v="589.05999999999995"/>
    <n v="0.05"/>
    <n v="2238.4299999999998"/>
    <n v="407.38"/>
  </r>
  <r>
    <x v="227"/>
    <x v="170"/>
    <x v="2"/>
    <x v="5"/>
    <x v="1"/>
    <s v="Consumer"/>
    <x v="8"/>
    <s v="South"/>
    <s v="Sophia Reed"/>
    <n v="1"/>
    <n v="307.35000000000002"/>
    <n v="0"/>
    <n v="307.35000000000002"/>
    <n v="20.5"/>
  </r>
  <r>
    <x v="228"/>
    <x v="171"/>
    <x v="2"/>
    <x v="8"/>
    <x v="19"/>
    <s v="Consumer"/>
    <x v="3"/>
    <s v="South"/>
    <s v="Sophia Reed"/>
    <n v="8"/>
    <n v="523.54"/>
    <n v="0.03"/>
    <n v="4062.63"/>
    <n v="784.06"/>
  </r>
  <r>
    <x v="229"/>
    <x v="172"/>
    <x v="2"/>
    <x v="6"/>
    <x v="4"/>
    <s v="Consumer"/>
    <x v="7"/>
    <s v="West"/>
    <s v="Sophia Reed"/>
    <n v="4"/>
    <n v="487.7"/>
    <n v="0"/>
    <n v="1950.81"/>
    <n v="349"/>
  </r>
  <r>
    <x v="230"/>
    <x v="173"/>
    <x v="0"/>
    <x v="0"/>
    <x v="6"/>
    <s v="Small Business"/>
    <x v="7"/>
    <s v="West"/>
    <s v="Emma Carter"/>
    <n v="4"/>
    <n v="87.22"/>
    <n v="0.03"/>
    <n v="338.4"/>
    <n v="-11.03"/>
  </r>
  <r>
    <x v="231"/>
    <x v="170"/>
    <x v="0"/>
    <x v="1"/>
    <x v="2"/>
    <s v="Small Business"/>
    <x v="2"/>
    <s v="Northeast"/>
    <s v="Ava Bennett"/>
    <n v="7"/>
    <n v="1399.55"/>
    <n v="0"/>
    <n v="9796.85"/>
    <n v="1647.91"/>
  </r>
  <r>
    <x v="232"/>
    <x v="174"/>
    <x v="1"/>
    <x v="4"/>
    <x v="10"/>
    <s v="Small Business"/>
    <x v="5"/>
    <s v="West"/>
    <s v="Noah Foster"/>
    <n v="4"/>
    <n v="35.409999999999997"/>
    <n v="7.0000000000000007E-2"/>
    <n v="131.72"/>
    <n v="-28.42"/>
  </r>
  <r>
    <x v="233"/>
    <x v="166"/>
    <x v="2"/>
    <x v="5"/>
    <x v="5"/>
    <s v="Corporate"/>
    <x v="7"/>
    <s v="West"/>
    <s v="Sophia Reed"/>
    <n v="5"/>
    <n v="309.22000000000003"/>
    <n v="0"/>
    <n v="1546.11"/>
    <n v="243.04"/>
  </r>
  <r>
    <x v="234"/>
    <x v="175"/>
    <x v="1"/>
    <x v="4"/>
    <x v="16"/>
    <s v="Small Business"/>
    <x v="8"/>
    <s v="South"/>
    <s v="Liam Brooks"/>
    <n v="17"/>
    <n v="31.84"/>
    <n v="0"/>
    <n v="541.23"/>
    <n v="86.71"/>
  </r>
  <r>
    <x v="235"/>
    <x v="176"/>
    <x v="1"/>
    <x v="4"/>
    <x v="8"/>
    <s v="Small Business"/>
    <x v="9"/>
    <s v="South"/>
    <s v="Noah Foster"/>
    <n v="12"/>
    <n v="27.67"/>
    <n v="0.1"/>
    <n v="298.81"/>
    <n v="54.22"/>
  </r>
  <r>
    <x v="236"/>
    <x v="174"/>
    <x v="2"/>
    <x v="6"/>
    <x v="11"/>
    <s v="Small Business"/>
    <x v="1"/>
    <s v="South"/>
    <s v="Liam Brooks"/>
    <n v="7"/>
    <n v="490.21"/>
    <n v="0.03"/>
    <n v="3328.51"/>
    <n v="754.78"/>
  </r>
  <r>
    <x v="237"/>
    <x v="177"/>
    <x v="1"/>
    <x v="4"/>
    <x v="8"/>
    <s v="Small Business"/>
    <x v="0"/>
    <s v="Midwest"/>
    <s v="Emma Carter"/>
    <n v="8"/>
    <n v="30.07"/>
    <n v="7.0000000000000007E-2"/>
    <n v="223.75"/>
    <n v="-11.2"/>
  </r>
  <r>
    <x v="238"/>
    <x v="178"/>
    <x v="2"/>
    <x v="8"/>
    <x v="15"/>
    <s v="Small Business"/>
    <x v="1"/>
    <s v="South"/>
    <s v="James Collins"/>
    <n v="2"/>
    <n v="593.12"/>
    <n v="0.05"/>
    <n v="1126.92"/>
    <n v="207.56"/>
  </r>
  <r>
    <x v="239"/>
    <x v="179"/>
    <x v="0"/>
    <x v="7"/>
    <x v="2"/>
    <s v="Small Business"/>
    <x v="2"/>
    <s v="Northeast"/>
    <s v="Emma Carter"/>
    <n v="8"/>
    <n v="439.01"/>
    <n v="0.05"/>
    <n v="3336.46"/>
    <n v="688.95"/>
  </r>
  <r>
    <x v="240"/>
    <x v="180"/>
    <x v="2"/>
    <x v="5"/>
    <x v="12"/>
    <s v="Consumer"/>
    <x v="3"/>
    <s v="South"/>
    <s v="James Collins"/>
    <n v="2"/>
    <n v="282.17"/>
    <n v="0"/>
    <n v="564.33000000000004"/>
    <n v="80.44"/>
  </r>
  <r>
    <x v="241"/>
    <x v="181"/>
    <x v="0"/>
    <x v="0"/>
    <x v="6"/>
    <s v="Small Business"/>
    <x v="7"/>
    <s v="West"/>
    <s v="Emma Carter"/>
    <n v="2"/>
    <n v="90.23"/>
    <n v="0"/>
    <n v="180.47"/>
    <n v="-29.44"/>
  </r>
  <r>
    <x v="242"/>
    <x v="177"/>
    <x v="2"/>
    <x v="6"/>
    <x v="15"/>
    <s v="Small Business"/>
    <x v="1"/>
    <s v="South"/>
    <s v="Noah Foster"/>
    <n v="8"/>
    <n v="487.43"/>
    <n v="7.0000000000000007E-2"/>
    <n v="3626.45"/>
    <n v="872.04"/>
  </r>
  <r>
    <x v="243"/>
    <x v="182"/>
    <x v="1"/>
    <x v="2"/>
    <x v="2"/>
    <s v="Corporate"/>
    <x v="0"/>
    <s v="Midwest"/>
    <s v="Emma Carter"/>
    <n v="6"/>
    <n v="46.72"/>
    <n v="0.03"/>
    <n v="271.91000000000003"/>
    <n v="23.43"/>
  </r>
  <r>
    <x v="244"/>
    <x v="177"/>
    <x v="1"/>
    <x v="4"/>
    <x v="15"/>
    <s v="Consumer"/>
    <x v="8"/>
    <s v="South"/>
    <s v="James Collins"/>
    <n v="16"/>
    <n v="31.26"/>
    <n v="0.03"/>
    <n v="485.23"/>
    <n v="29.2"/>
  </r>
  <r>
    <x v="245"/>
    <x v="183"/>
    <x v="1"/>
    <x v="3"/>
    <x v="5"/>
    <s v="Consumer"/>
    <x v="8"/>
    <s v="South"/>
    <s v="Liam Brooks"/>
    <n v="18"/>
    <n v="82.02"/>
    <n v="0"/>
    <n v="1476.44"/>
    <n v="263.66000000000003"/>
  </r>
  <r>
    <x v="246"/>
    <x v="181"/>
    <x v="0"/>
    <x v="7"/>
    <x v="5"/>
    <s v="Consumer"/>
    <x v="2"/>
    <s v="Northeast"/>
    <s v="James Collins"/>
    <n v="7"/>
    <n v="405.1"/>
    <n v="0.1"/>
    <n v="2552.13"/>
    <n v="552.75"/>
  </r>
  <r>
    <x v="247"/>
    <x v="183"/>
    <x v="1"/>
    <x v="4"/>
    <x v="17"/>
    <s v="Corporate"/>
    <x v="5"/>
    <s v="West"/>
    <s v="Sophia Reed"/>
    <n v="4"/>
    <n v="35.409999999999997"/>
    <n v="7.0000000000000007E-2"/>
    <n v="131.74"/>
    <n v="-4.32"/>
  </r>
  <r>
    <x v="248"/>
    <x v="183"/>
    <x v="0"/>
    <x v="7"/>
    <x v="1"/>
    <s v="Consumer"/>
    <x v="6"/>
    <s v="West"/>
    <s v="Sophia Reed"/>
    <n v="7"/>
    <n v="347.83"/>
    <n v="7.0000000000000007E-2"/>
    <n v="2264.35"/>
    <n v="365.38"/>
  </r>
  <r>
    <x v="249"/>
    <x v="184"/>
    <x v="2"/>
    <x v="5"/>
    <x v="18"/>
    <s v="Consumer"/>
    <x v="0"/>
    <s v="Midwest"/>
    <s v="Emma Carter"/>
    <n v="3"/>
    <n v="299.58"/>
    <n v="0"/>
    <n v="898.74"/>
    <n v="158.4"/>
  </r>
  <r>
    <x v="250"/>
    <x v="185"/>
    <x v="2"/>
    <x v="8"/>
    <x v="18"/>
    <s v="Corporate"/>
    <x v="7"/>
    <s v="West"/>
    <s v="Ava Bennett"/>
    <n v="7"/>
    <n v="578.30999999999995"/>
    <n v="0.05"/>
    <n v="3845.77"/>
    <n v="730.54"/>
  </r>
  <r>
    <x v="251"/>
    <x v="177"/>
    <x v="2"/>
    <x v="5"/>
    <x v="10"/>
    <s v="Corporate"/>
    <x v="6"/>
    <s v="West"/>
    <s v="Liam Brooks"/>
    <n v="6"/>
    <n v="306.02"/>
    <n v="7.0000000000000007E-2"/>
    <n v="1707.58"/>
    <n v="283.47000000000003"/>
  </r>
  <r>
    <x v="252"/>
    <x v="186"/>
    <x v="0"/>
    <x v="1"/>
    <x v="12"/>
    <s v="Consumer"/>
    <x v="7"/>
    <s v="West"/>
    <s v="James Collins"/>
    <n v="8"/>
    <n v="1429.09"/>
    <n v="0.05"/>
    <n v="10861.07"/>
    <n v="1805.24"/>
  </r>
  <r>
    <x v="253"/>
    <x v="187"/>
    <x v="0"/>
    <x v="1"/>
    <x v="19"/>
    <s v="Corporate"/>
    <x v="9"/>
    <s v="South"/>
    <s v="Sophia Reed"/>
    <n v="1"/>
    <n v="1269.8699999999999"/>
    <n v="7.0000000000000007E-2"/>
    <n v="1180.98"/>
    <n v="81.23"/>
  </r>
  <r>
    <x v="254"/>
    <x v="188"/>
    <x v="2"/>
    <x v="8"/>
    <x v="1"/>
    <s v="Corporate"/>
    <x v="4"/>
    <s v="West"/>
    <s v="Ava Bennett"/>
    <n v="2"/>
    <n v="555.23"/>
    <n v="7.0000000000000007E-2"/>
    <n v="1032.72"/>
    <n v="174.57"/>
  </r>
  <r>
    <x v="255"/>
    <x v="189"/>
    <x v="2"/>
    <x v="8"/>
    <x v="17"/>
    <s v="Small Business"/>
    <x v="4"/>
    <s v="West"/>
    <s v="Emma Carter"/>
    <n v="4"/>
    <n v="557.6"/>
    <n v="0"/>
    <n v="2230.39"/>
    <n v="382.05"/>
  </r>
  <r>
    <x v="256"/>
    <x v="190"/>
    <x v="1"/>
    <x v="2"/>
    <x v="17"/>
    <s v="Consumer"/>
    <x v="1"/>
    <s v="South"/>
    <s v="Ava Bennett"/>
    <n v="13"/>
    <n v="53.16"/>
    <n v="7.0000000000000007E-2"/>
    <n v="642.74"/>
    <n v="95.43"/>
  </r>
  <r>
    <x v="257"/>
    <x v="191"/>
    <x v="0"/>
    <x v="1"/>
    <x v="14"/>
    <s v="Small Business"/>
    <x v="5"/>
    <s v="West"/>
    <s v="Ava Bennett"/>
    <n v="5"/>
    <n v="1632.8"/>
    <n v="0"/>
    <n v="8163.98"/>
    <n v="1274.8"/>
  </r>
  <r>
    <x v="258"/>
    <x v="192"/>
    <x v="2"/>
    <x v="8"/>
    <x v="9"/>
    <s v="Corporate"/>
    <x v="4"/>
    <s v="West"/>
    <s v="Noah Foster"/>
    <n v="1"/>
    <n v="612.85"/>
    <n v="0.1"/>
    <n v="551.55999999999995"/>
    <n v="-30.05"/>
  </r>
  <r>
    <x v="259"/>
    <x v="193"/>
    <x v="0"/>
    <x v="0"/>
    <x v="0"/>
    <s v="Consumer"/>
    <x v="3"/>
    <s v="South"/>
    <s v="Noah Foster"/>
    <n v="17"/>
    <n v="85.59"/>
    <n v="0.1"/>
    <n v="1309.5899999999999"/>
    <n v="299.52999999999997"/>
  </r>
  <r>
    <x v="260"/>
    <x v="187"/>
    <x v="0"/>
    <x v="0"/>
    <x v="8"/>
    <s v="Consumer"/>
    <x v="8"/>
    <s v="South"/>
    <s v="James Collins"/>
    <n v="10"/>
    <n v="102.98"/>
    <n v="0.03"/>
    <n v="998.91"/>
    <n v="219.47"/>
  </r>
  <r>
    <x v="261"/>
    <x v="194"/>
    <x v="0"/>
    <x v="0"/>
    <x v="15"/>
    <s v="Consumer"/>
    <x v="8"/>
    <s v="South"/>
    <s v="James Collins"/>
    <n v="13"/>
    <n v="105.14"/>
    <n v="7.0000000000000007E-2"/>
    <n v="1271.1500000000001"/>
    <n v="239.66"/>
  </r>
  <r>
    <x v="262"/>
    <x v="188"/>
    <x v="1"/>
    <x v="4"/>
    <x v="10"/>
    <s v="Small Business"/>
    <x v="3"/>
    <s v="South"/>
    <s v="Ava Bennett"/>
    <n v="6"/>
    <n v="29.94"/>
    <n v="0.05"/>
    <n v="170.65"/>
    <n v="-17"/>
  </r>
  <r>
    <x v="263"/>
    <x v="190"/>
    <x v="0"/>
    <x v="1"/>
    <x v="19"/>
    <s v="Corporate"/>
    <x v="6"/>
    <s v="West"/>
    <s v="Liam Brooks"/>
    <n v="8"/>
    <n v="1289.31"/>
    <n v="0.05"/>
    <n v="9798.73"/>
    <n v="1446.06"/>
  </r>
  <r>
    <x v="264"/>
    <x v="188"/>
    <x v="2"/>
    <x v="8"/>
    <x v="13"/>
    <s v="Corporate"/>
    <x v="2"/>
    <s v="Northeast"/>
    <s v="James Collins"/>
    <n v="6"/>
    <n v="625.12"/>
    <n v="0.03"/>
    <n v="3638.2"/>
    <n v="700.07"/>
  </r>
  <r>
    <x v="265"/>
    <x v="187"/>
    <x v="1"/>
    <x v="3"/>
    <x v="0"/>
    <s v="Small Business"/>
    <x v="0"/>
    <s v="Midwest"/>
    <s v="James Collins"/>
    <n v="4"/>
    <n v="84.24"/>
    <n v="0"/>
    <n v="336.95"/>
    <n v="49.86"/>
  </r>
  <r>
    <x v="266"/>
    <x v="192"/>
    <x v="0"/>
    <x v="0"/>
    <x v="19"/>
    <s v="Corporate"/>
    <x v="6"/>
    <s v="West"/>
    <s v="James Collins"/>
    <n v="12"/>
    <n v="92.08"/>
    <n v="0.05"/>
    <n v="1049.73"/>
    <n v="258.56"/>
  </r>
  <r>
    <x v="267"/>
    <x v="189"/>
    <x v="1"/>
    <x v="2"/>
    <x v="9"/>
    <s v="Small Business"/>
    <x v="8"/>
    <s v="South"/>
    <s v="Sophia Reed"/>
    <n v="11"/>
    <n v="50.42"/>
    <n v="0"/>
    <n v="554.58000000000004"/>
    <n v="54.72"/>
  </r>
  <r>
    <x v="268"/>
    <x v="195"/>
    <x v="2"/>
    <x v="6"/>
    <x v="18"/>
    <s v="Consumer"/>
    <x v="5"/>
    <s v="West"/>
    <s v="Liam Brooks"/>
    <n v="8"/>
    <n v="542.80999999999995"/>
    <n v="0"/>
    <n v="4342.46"/>
    <n v="1028.1300000000001"/>
  </r>
  <r>
    <x v="269"/>
    <x v="196"/>
    <x v="0"/>
    <x v="1"/>
    <x v="7"/>
    <s v="Corporate"/>
    <x v="8"/>
    <s v="South"/>
    <s v="Ava Bennett"/>
    <n v="7"/>
    <n v="1472.32"/>
    <n v="0.05"/>
    <n v="9790.9500000000007"/>
    <n v="1606.79"/>
  </r>
  <r>
    <x v="270"/>
    <x v="197"/>
    <x v="2"/>
    <x v="5"/>
    <x v="12"/>
    <s v="Consumer"/>
    <x v="1"/>
    <s v="South"/>
    <s v="Ava Bennett"/>
    <n v="5"/>
    <n v="345.47"/>
    <n v="0.1"/>
    <n v="1554.62"/>
    <n v="192.26"/>
  </r>
  <r>
    <x v="271"/>
    <x v="198"/>
    <x v="0"/>
    <x v="0"/>
    <x v="1"/>
    <s v="Corporate"/>
    <x v="9"/>
    <s v="South"/>
    <s v="James Collins"/>
    <n v="14"/>
    <n v="88.29"/>
    <n v="0"/>
    <n v="1236.04"/>
    <n v="292.27999999999997"/>
  </r>
  <r>
    <x v="272"/>
    <x v="199"/>
    <x v="1"/>
    <x v="4"/>
    <x v="0"/>
    <s v="Small Business"/>
    <x v="8"/>
    <s v="South"/>
    <s v="James Collins"/>
    <n v="4"/>
    <n v="33.81"/>
    <n v="0"/>
    <n v="135.22"/>
    <n v="-24.4"/>
  </r>
  <r>
    <x v="273"/>
    <x v="196"/>
    <x v="1"/>
    <x v="3"/>
    <x v="16"/>
    <s v="Consumer"/>
    <x v="7"/>
    <s v="West"/>
    <s v="James Collins"/>
    <n v="7"/>
    <n v="91.75"/>
    <n v="0"/>
    <n v="642.24"/>
    <n v="96.77"/>
  </r>
  <r>
    <x v="274"/>
    <x v="200"/>
    <x v="0"/>
    <x v="1"/>
    <x v="8"/>
    <s v="Consumer"/>
    <x v="5"/>
    <s v="West"/>
    <s v="Sophia Reed"/>
    <n v="7"/>
    <n v="1625.05"/>
    <n v="0.05"/>
    <n v="10806.58"/>
    <n v="1506.38"/>
  </r>
  <r>
    <x v="275"/>
    <x v="201"/>
    <x v="0"/>
    <x v="7"/>
    <x v="10"/>
    <s v="Corporate"/>
    <x v="8"/>
    <s v="South"/>
    <s v="Ava Bennett"/>
    <n v="4"/>
    <n v="435.77"/>
    <n v="0"/>
    <n v="1743.08"/>
    <n v="327.97"/>
  </r>
  <r>
    <x v="276"/>
    <x v="200"/>
    <x v="2"/>
    <x v="6"/>
    <x v="10"/>
    <s v="Consumer"/>
    <x v="8"/>
    <s v="South"/>
    <s v="Noah Foster"/>
    <n v="4"/>
    <n v="485.43"/>
    <n v="0"/>
    <n v="1941.73"/>
    <n v="492.17"/>
  </r>
  <r>
    <x v="277"/>
    <x v="202"/>
    <x v="2"/>
    <x v="5"/>
    <x v="5"/>
    <s v="Corporate"/>
    <x v="0"/>
    <s v="Midwest"/>
    <s v="Emma Carter"/>
    <n v="3"/>
    <n v="331.94"/>
    <n v="0"/>
    <n v="995.83"/>
    <n v="178.79"/>
  </r>
  <r>
    <x v="278"/>
    <x v="203"/>
    <x v="2"/>
    <x v="8"/>
    <x v="16"/>
    <s v="Corporate"/>
    <x v="2"/>
    <s v="Northeast"/>
    <s v="James Collins"/>
    <n v="5"/>
    <n v="681.41"/>
    <n v="0"/>
    <n v="3407.05"/>
    <n v="753.3"/>
  </r>
  <r>
    <x v="279"/>
    <x v="204"/>
    <x v="1"/>
    <x v="3"/>
    <x v="13"/>
    <s v="Consumer"/>
    <x v="8"/>
    <s v="South"/>
    <s v="Ava Bennett"/>
    <n v="4"/>
    <n v="90.15"/>
    <n v="7.0000000000000007E-2"/>
    <n v="335.35"/>
    <n v="32.9"/>
  </r>
  <r>
    <x v="280"/>
    <x v="205"/>
    <x v="0"/>
    <x v="7"/>
    <x v="13"/>
    <s v="Corporate"/>
    <x v="2"/>
    <s v="Northeast"/>
    <s v="Ava Bennett"/>
    <n v="2"/>
    <n v="415.35"/>
    <n v="7.0000000000000007E-2"/>
    <n v="772.56"/>
    <n v="15.49"/>
  </r>
  <r>
    <x v="281"/>
    <x v="201"/>
    <x v="0"/>
    <x v="1"/>
    <x v="16"/>
    <s v="Small Business"/>
    <x v="6"/>
    <s v="West"/>
    <s v="Liam Brooks"/>
    <n v="3"/>
    <n v="1401.34"/>
    <n v="0"/>
    <n v="4204.0200000000004"/>
    <n v="667.64"/>
  </r>
  <r>
    <x v="282"/>
    <x v="206"/>
    <x v="1"/>
    <x v="2"/>
    <x v="0"/>
    <s v="Small Business"/>
    <x v="3"/>
    <s v="South"/>
    <s v="James Collins"/>
    <n v="12"/>
    <n v="47.06"/>
    <n v="0"/>
    <n v="564.77"/>
    <n v="80.849999999999994"/>
  </r>
  <r>
    <x v="283"/>
    <x v="205"/>
    <x v="0"/>
    <x v="1"/>
    <x v="3"/>
    <s v="Small Business"/>
    <x v="4"/>
    <s v="West"/>
    <s v="Emma Carter"/>
    <n v="8"/>
    <n v="1477.15"/>
    <n v="0.03"/>
    <n v="11462.71"/>
    <n v="1853.83"/>
  </r>
  <r>
    <x v="284"/>
    <x v="207"/>
    <x v="1"/>
    <x v="2"/>
    <x v="14"/>
    <s v="Small Business"/>
    <x v="0"/>
    <s v="Midwest"/>
    <s v="James Collins"/>
    <n v="9"/>
    <n v="49.86"/>
    <n v="7.0000000000000007E-2"/>
    <n v="417.31"/>
    <n v="26.69"/>
  </r>
  <r>
    <x v="285"/>
    <x v="205"/>
    <x v="2"/>
    <x v="6"/>
    <x v="7"/>
    <s v="Corporate"/>
    <x v="1"/>
    <s v="South"/>
    <s v="Noah Foster"/>
    <n v="1"/>
    <n v="474.93"/>
    <n v="0.03"/>
    <n v="460.68"/>
    <n v="9.15"/>
  </r>
  <r>
    <x v="286"/>
    <x v="208"/>
    <x v="0"/>
    <x v="0"/>
    <x v="10"/>
    <s v="Corporate"/>
    <x v="7"/>
    <s v="West"/>
    <s v="Liam Brooks"/>
    <n v="18"/>
    <n v="103.99"/>
    <n v="0.05"/>
    <n v="1778.21"/>
    <n v="509.19"/>
  </r>
  <r>
    <x v="287"/>
    <x v="209"/>
    <x v="2"/>
    <x v="8"/>
    <x v="3"/>
    <s v="Corporate"/>
    <x v="8"/>
    <s v="South"/>
    <s v="Ava Bennett"/>
    <n v="7"/>
    <n v="624.4"/>
    <n v="0.03"/>
    <n v="4239.68"/>
    <n v="742.27"/>
  </r>
  <r>
    <x v="288"/>
    <x v="210"/>
    <x v="0"/>
    <x v="0"/>
    <x v="8"/>
    <s v="Corporate"/>
    <x v="2"/>
    <s v="Northeast"/>
    <s v="Ava Bennett"/>
    <n v="3"/>
    <n v="103.87"/>
    <n v="0"/>
    <n v="311.62"/>
    <n v="32.65"/>
  </r>
  <r>
    <x v="289"/>
    <x v="211"/>
    <x v="1"/>
    <x v="3"/>
    <x v="6"/>
    <s v="Small Business"/>
    <x v="3"/>
    <s v="South"/>
    <s v="Sophia Reed"/>
    <n v="9"/>
    <n v="74.06"/>
    <n v="0"/>
    <n v="666.5"/>
    <n v="72.959999999999994"/>
  </r>
  <r>
    <x v="290"/>
    <x v="212"/>
    <x v="0"/>
    <x v="1"/>
    <x v="15"/>
    <s v="Small Business"/>
    <x v="2"/>
    <s v="Northeast"/>
    <s v="Sophia Reed"/>
    <n v="7"/>
    <n v="1460.4"/>
    <n v="0.03"/>
    <n v="9916.1299999999992"/>
    <n v="2200.27"/>
  </r>
  <r>
    <x v="291"/>
    <x v="210"/>
    <x v="1"/>
    <x v="4"/>
    <x v="4"/>
    <s v="Corporate"/>
    <x v="8"/>
    <s v="South"/>
    <s v="James Collins"/>
    <n v="11"/>
    <n v="34.19"/>
    <n v="0.1"/>
    <n v="338.49"/>
    <n v="48.4"/>
  </r>
  <r>
    <x v="292"/>
    <x v="213"/>
    <x v="0"/>
    <x v="1"/>
    <x v="16"/>
    <s v="Small Business"/>
    <x v="1"/>
    <s v="South"/>
    <s v="Ava Bennett"/>
    <n v="1"/>
    <n v="1426.91"/>
    <n v="0.03"/>
    <n v="1384.1"/>
    <n v="250.94"/>
  </r>
  <r>
    <x v="293"/>
    <x v="214"/>
    <x v="1"/>
    <x v="3"/>
    <x v="0"/>
    <s v="Corporate"/>
    <x v="4"/>
    <s v="West"/>
    <s v="Noah Foster"/>
    <n v="5"/>
    <n v="85.39"/>
    <n v="0"/>
    <n v="426.96"/>
    <n v="64.17"/>
  </r>
  <r>
    <x v="294"/>
    <x v="215"/>
    <x v="0"/>
    <x v="1"/>
    <x v="16"/>
    <s v="Consumer"/>
    <x v="7"/>
    <s v="West"/>
    <s v="James Collins"/>
    <n v="2"/>
    <n v="1449.62"/>
    <n v="0.03"/>
    <n v="2812.26"/>
    <n v="592.29999999999995"/>
  </r>
  <r>
    <x v="295"/>
    <x v="216"/>
    <x v="0"/>
    <x v="0"/>
    <x v="7"/>
    <s v="Corporate"/>
    <x v="6"/>
    <s v="West"/>
    <s v="Sophia Reed"/>
    <n v="5"/>
    <n v="81.81"/>
    <n v="0.05"/>
    <n v="388.6"/>
    <n v="-28.47"/>
  </r>
  <r>
    <x v="296"/>
    <x v="217"/>
    <x v="2"/>
    <x v="8"/>
    <x v="19"/>
    <s v="Small Business"/>
    <x v="6"/>
    <s v="West"/>
    <s v="James Collins"/>
    <n v="7"/>
    <n v="510.13"/>
    <n v="0"/>
    <n v="3570.91"/>
    <n v="806.64"/>
  </r>
  <r>
    <x v="297"/>
    <x v="213"/>
    <x v="0"/>
    <x v="1"/>
    <x v="18"/>
    <s v="Consumer"/>
    <x v="9"/>
    <s v="South"/>
    <s v="Liam Brooks"/>
    <n v="5"/>
    <n v="1297.8499999999999"/>
    <n v="7.0000000000000007E-2"/>
    <n v="6035.01"/>
    <n v="1070"/>
  </r>
  <r>
    <x v="298"/>
    <x v="218"/>
    <x v="0"/>
    <x v="7"/>
    <x v="1"/>
    <s v="Corporate"/>
    <x v="1"/>
    <s v="South"/>
    <s v="James Collins"/>
    <n v="1"/>
    <n v="404.51"/>
    <n v="0.1"/>
    <n v="364.06"/>
    <n v="-10.32"/>
  </r>
  <r>
    <x v="299"/>
    <x v="219"/>
    <x v="1"/>
    <x v="3"/>
    <x v="6"/>
    <s v="Small Business"/>
    <x v="4"/>
    <s v="West"/>
    <s v="Sophia Reed"/>
    <n v="7"/>
    <n v="76.56"/>
    <n v="7.0000000000000007E-2"/>
    <n v="498.38"/>
    <n v="39.76"/>
  </r>
  <r>
    <x v="300"/>
    <x v="220"/>
    <x v="0"/>
    <x v="7"/>
    <x v="16"/>
    <s v="Consumer"/>
    <x v="4"/>
    <s v="West"/>
    <s v="Liam Brooks"/>
    <n v="3"/>
    <n v="350.87"/>
    <n v="0.1"/>
    <n v="947.35"/>
    <n v="104.71"/>
  </r>
  <r>
    <x v="301"/>
    <x v="221"/>
    <x v="0"/>
    <x v="0"/>
    <x v="16"/>
    <s v="Corporate"/>
    <x v="7"/>
    <s v="West"/>
    <s v="Liam Brooks"/>
    <n v="9"/>
    <n v="98.71"/>
    <n v="0.1"/>
    <n v="799.57"/>
    <n v="127.98"/>
  </r>
  <r>
    <x v="302"/>
    <x v="222"/>
    <x v="2"/>
    <x v="6"/>
    <x v="14"/>
    <s v="Corporate"/>
    <x v="2"/>
    <s v="Northeast"/>
    <s v="Noah Foster"/>
    <n v="5"/>
    <n v="526.27"/>
    <n v="0"/>
    <n v="2631.33"/>
    <n v="469.58"/>
  </r>
  <r>
    <x v="303"/>
    <x v="223"/>
    <x v="0"/>
    <x v="0"/>
    <x v="19"/>
    <s v="Small Business"/>
    <x v="6"/>
    <s v="West"/>
    <s v="Ava Bennett"/>
    <n v="8"/>
    <n v="94.63"/>
    <n v="0.03"/>
    <n v="734.32"/>
    <n v="107.64"/>
  </r>
  <r>
    <x v="304"/>
    <x v="224"/>
    <x v="0"/>
    <x v="1"/>
    <x v="14"/>
    <s v="Consumer"/>
    <x v="2"/>
    <s v="Northeast"/>
    <s v="Liam Brooks"/>
    <n v="2"/>
    <n v="1678.82"/>
    <n v="0.03"/>
    <n v="3256.91"/>
    <n v="669.57"/>
  </r>
  <r>
    <x v="305"/>
    <x v="225"/>
    <x v="1"/>
    <x v="3"/>
    <x v="6"/>
    <s v="Small Business"/>
    <x v="8"/>
    <s v="South"/>
    <s v="Sophia Reed"/>
    <n v="6"/>
    <n v="97.06"/>
    <n v="0.1"/>
    <n v="524.13"/>
    <n v="84.26"/>
  </r>
  <r>
    <x v="306"/>
    <x v="226"/>
    <x v="2"/>
    <x v="8"/>
    <x v="12"/>
    <s v="Consumer"/>
    <x v="2"/>
    <s v="Northeast"/>
    <s v="Ava Bennett"/>
    <n v="6"/>
    <n v="640.82000000000005"/>
    <n v="7.0000000000000007E-2"/>
    <n v="3575.77"/>
    <n v="765.72"/>
  </r>
  <r>
    <x v="307"/>
    <x v="227"/>
    <x v="1"/>
    <x v="2"/>
    <x v="19"/>
    <s v="Consumer"/>
    <x v="2"/>
    <s v="Northeast"/>
    <s v="Ava Bennett"/>
    <n v="14"/>
    <n v="60.47"/>
    <n v="7.0000000000000007E-2"/>
    <n v="787.34"/>
    <n v="56.66"/>
  </r>
  <r>
    <x v="308"/>
    <x v="228"/>
    <x v="0"/>
    <x v="0"/>
    <x v="9"/>
    <s v="Small Business"/>
    <x v="9"/>
    <s v="South"/>
    <s v="Liam Brooks"/>
    <n v="12"/>
    <n v="94.85"/>
    <n v="0"/>
    <n v="1138.18"/>
    <n v="269.70999999999998"/>
  </r>
  <r>
    <x v="309"/>
    <x v="229"/>
    <x v="0"/>
    <x v="0"/>
    <x v="15"/>
    <s v="Corporate"/>
    <x v="3"/>
    <s v="South"/>
    <s v="Sophia Reed"/>
    <n v="8"/>
    <n v="89.47"/>
    <n v="0"/>
    <n v="715.73"/>
    <n v="93.16"/>
  </r>
  <r>
    <x v="310"/>
    <x v="225"/>
    <x v="0"/>
    <x v="7"/>
    <x v="2"/>
    <s v="Corporate"/>
    <x v="6"/>
    <s v="West"/>
    <s v="Noah Foster"/>
    <n v="8"/>
    <n v="382.31"/>
    <n v="0.03"/>
    <n v="2966.71"/>
    <n v="643.13"/>
  </r>
  <r>
    <x v="311"/>
    <x v="223"/>
    <x v="2"/>
    <x v="6"/>
    <x v="5"/>
    <s v="Small Business"/>
    <x v="1"/>
    <s v="South"/>
    <s v="Emma Carter"/>
    <n v="1"/>
    <n v="483.72"/>
    <n v="0.03"/>
    <n v="469.21"/>
    <n v="63.13"/>
  </r>
  <r>
    <x v="312"/>
    <x v="230"/>
    <x v="0"/>
    <x v="7"/>
    <x v="4"/>
    <s v="Consumer"/>
    <x v="2"/>
    <s v="Northeast"/>
    <s v="Emma Carter"/>
    <n v="6"/>
    <n v="441.39"/>
    <n v="7.0000000000000007E-2"/>
    <n v="2462.9699999999998"/>
    <n v="535.32000000000005"/>
  </r>
  <r>
    <x v="313"/>
    <x v="231"/>
    <x v="2"/>
    <x v="5"/>
    <x v="2"/>
    <s v="Corporate"/>
    <x v="9"/>
    <s v="South"/>
    <s v="Emma Carter"/>
    <n v="2"/>
    <n v="305.63"/>
    <n v="0"/>
    <n v="611.26"/>
    <n v="56.04"/>
  </r>
  <r>
    <x v="314"/>
    <x v="232"/>
    <x v="1"/>
    <x v="3"/>
    <x v="10"/>
    <s v="Corporate"/>
    <x v="0"/>
    <s v="Midwest"/>
    <s v="Emma Carter"/>
    <n v="3"/>
    <n v="83.06"/>
    <n v="7.0000000000000007E-2"/>
    <n v="231.73"/>
    <n v="39.229999999999997"/>
  </r>
  <r>
    <x v="315"/>
    <x v="233"/>
    <x v="0"/>
    <x v="7"/>
    <x v="10"/>
    <s v="Consumer"/>
    <x v="8"/>
    <s v="South"/>
    <s v="James Collins"/>
    <n v="8"/>
    <n v="395.6"/>
    <n v="0"/>
    <n v="3164.77"/>
    <n v="530.21"/>
  </r>
  <r>
    <x v="316"/>
    <x v="234"/>
    <x v="1"/>
    <x v="2"/>
    <x v="8"/>
    <s v="Small Business"/>
    <x v="0"/>
    <s v="Midwest"/>
    <s v="Noah Foster"/>
    <n v="10"/>
    <n v="47.72"/>
    <n v="7.0000000000000007E-2"/>
    <n v="443.79"/>
    <n v="40.18"/>
  </r>
  <r>
    <x v="317"/>
    <x v="226"/>
    <x v="1"/>
    <x v="2"/>
    <x v="3"/>
    <s v="Small Business"/>
    <x v="6"/>
    <s v="West"/>
    <s v="Noah Foster"/>
    <n v="16"/>
    <n v="46.48"/>
    <n v="0.03"/>
    <n v="721.38"/>
    <n v="105.64"/>
  </r>
  <r>
    <x v="318"/>
    <x v="235"/>
    <x v="0"/>
    <x v="0"/>
    <x v="12"/>
    <s v="Small Business"/>
    <x v="3"/>
    <s v="South"/>
    <s v="Ava Bennett"/>
    <n v="9"/>
    <n v="98.66"/>
    <n v="0.05"/>
    <n v="843.53"/>
    <n v="208.31"/>
  </r>
  <r>
    <x v="319"/>
    <x v="236"/>
    <x v="2"/>
    <x v="8"/>
    <x v="0"/>
    <s v="Small Business"/>
    <x v="9"/>
    <s v="South"/>
    <s v="Sophia Reed"/>
    <n v="2"/>
    <n v="584.28"/>
    <n v="0.1"/>
    <n v="1051.71"/>
    <n v="80.87"/>
  </r>
  <r>
    <x v="320"/>
    <x v="237"/>
    <x v="2"/>
    <x v="6"/>
    <x v="7"/>
    <s v="Corporate"/>
    <x v="9"/>
    <s v="South"/>
    <s v="Noah Foster"/>
    <n v="3"/>
    <n v="520.83000000000004"/>
    <n v="0"/>
    <n v="1562.48"/>
    <n v="315.61"/>
  </r>
  <r>
    <x v="321"/>
    <x v="238"/>
    <x v="0"/>
    <x v="7"/>
    <x v="2"/>
    <s v="Corporate"/>
    <x v="8"/>
    <s v="South"/>
    <s v="James Collins"/>
    <n v="3"/>
    <n v="456.34"/>
    <n v="0.03"/>
    <n v="1327.96"/>
    <n v="168.63"/>
  </r>
  <r>
    <x v="322"/>
    <x v="236"/>
    <x v="0"/>
    <x v="7"/>
    <x v="8"/>
    <s v="Consumer"/>
    <x v="4"/>
    <s v="West"/>
    <s v="Sophia Reed"/>
    <n v="5"/>
    <n v="408.99"/>
    <n v="0"/>
    <n v="2044.95"/>
    <n v="416.2"/>
  </r>
  <r>
    <x v="323"/>
    <x v="235"/>
    <x v="1"/>
    <x v="2"/>
    <x v="7"/>
    <s v="Corporate"/>
    <x v="7"/>
    <s v="West"/>
    <s v="Ava Bennett"/>
    <n v="5"/>
    <n v="59.99"/>
    <n v="7.0000000000000007E-2"/>
    <n v="278.97000000000003"/>
    <n v="3.76"/>
  </r>
  <r>
    <x v="324"/>
    <x v="239"/>
    <x v="1"/>
    <x v="4"/>
    <x v="8"/>
    <s v="Consumer"/>
    <x v="0"/>
    <s v="Midwest"/>
    <s v="Noah Foster"/>
    <n v="17"/>
    <n v="31.13"/>
    <n v="0.03"/>
    <n v="513.25"/>
    <n v="54.69"/>
  </r>
  <r>
    <x v="325"/>
    <x v="240"/>
    <x v="0"/>
    <x v="7"/>
    <x v="0"/>
    <s v="Corporate"/>
    <x v="3"/>
    <s v="South"/>
    <s v="James Collins"/>
    <n v="8"/>
    <n v="414.57"/>
    <n v="0.03"/>
    <n v="3217.09"/>
    <n v="465.94"/>
  </r>
  <r>
    <x v="326"/>
    <x v="241"/>
    <x v="1"/>
    <x v="4"/>
    <x v="9"/>
    <s v="Corporate"/>
    <x v="6"/>
    <s v="West"/>
    <s v="Liam Brooks"/>
    <n v="11"/>
    <n v="33.67"/>
    <n v="0.05"/>
    <n v="351.86"/>
    <n v="51.25"/>
  </r>
  <r>
    <x v="327"/>
    <x v="236"/>
    <x v="2"/>
    <x v="6"/>
    <x v="17"/>
    <s v="Small Business"/>
    <x v="8"/>
    <s v="South"/>
    <s v="Liam Brooks"/>
    <n v="7"/>
    <n v="570.02"/>
    <n v="7.0000000000000007E-2"/>
    <n v="3710.82"/>
    <n v="875.26"/>
  </r>
  <r>
    <x v="328"/>
    <x v="242"/>
    <x v="0"/>
    <x v="1"/>
    <x v="1"/>
    <s v="Small Business"/>
    <x v="0"/>
    <s v="Midwest"/>
    <s v="Liam Brooks"/>
    <n v="1"/>
    <n v="1417.56"/>
    <n v="0"/>
    <n v="1417.56"/>
    <n v="251.55"/>
  </r>
  <r>
    <x v="329"/>
    <x v="243"/>
    <x v="0"/>
    <x v="7"/>
    <x v="13"/>
    <s v="Small Business"/>
    <x v="1"/>
    <s v="South"/>
    <s v="Noah Foster"/>
    <n v="7"/>
    <n v="423.76"/>
    <n v="0"/>
    <n v="2966.33"/>
    <n v="662.97"/>
  </r>
  <r>
    <x v="330"/>
    <x v="240"/>
    <x v="2"/>
    <x v="8"/>
    <x v="11"/>
    <s v="Consumer"/>
    <x v="2"/>
    <s v="Northeast"/>
    <s v="Ava Bennett"/>
    <n v="6"/>
    <n v="688.9"/>
    <n v="0.03"/>
    <n v="4009.42"/>
    <n v="807.55"/>
  </r>
  <r>
    <x v="331"/>
    <x v="236"/>
    <x v="0"/>
    <x v="7"/>
    <x v="5"/>
    <s v="Consumer"/>
    <x v="5"/>
    <s v="West"/>
    <s v="Liam Brooks"/>
    <n v="4"/>
    <n v="486.26"/>
    <n v="0.1"/>
    <n v="1750.55"/>
    <n v="247.74"/>
  </r>
  <r>
    <x v="332"/>
    <x v="240"/>
    <x v="0"/>
    <x v="0"/>
    <x v="11"/>
    <s v="Corporate"/>
    <x v="5"/>
    <s v="West"/>
    <s v="James Collins"/>
    <n v="7"/>
    <n v="120.8"/>
    <n v="0"/>
    <n v="845.62"/>
    <n v="141.93"/>
  </r>
  <r>
    <x v="333"/>
    <x v="244"/>
    <x v="1"/>
    <x v="4"/>
    <x v="15"/>
    <s v="Small Business"/>
    <x v="3"/>
    <s v="South"/>
    <s v="Liam Brooks"/>
    <n v="16"/>
    <n v="30.81"/>
    <n v="7.0000000000000007E-2"/>
    <n v="458.52"/>
    <n v="72.94"/>
  </r>
  <r>
    <x v="334"/>
    <x v="245"/>
    <x v="0"/>
    <x v="0"/>
    <x v="12"/>
    <s v="Consumer"/>
    <x v="3"/>
    <s v="South"/>
    <s v="Ava Bennett"/>
    <n v="11"/>
    <n v="93.5"/>
    <n v="0"/>
    <n v="1028.45"/>
    <n v="248.31"/>
  </r>
  <r>
    <x v="335"/>
    <x v="246"/>
    <x v="2"/>
    <x v="8"/>
    <x v="13"/>
    <s v="Consumer"/>
    <x v="0"/>
    <s v="Midwest"/>
    <s v="James Collins"/>
    <n v="5"/>
    <n v="580.4"/>
    <n v="7.0000000000000007E-2"/>
    <n v="2698.87"/>
    <n v="489.29"/>
  </r>
  <r>
    <x v="336"/>
    <x v="247"/>
    <x v="1"/>
    <x v="3"/>
    <x v="7"/>
    <s v="Consumer"/>
    <x v="3"/>
    <s v="South"/>
    <s v="Emma Carter"/>
    <n v="17"/>
    <n v="90.72"/>
    <n v="0.03"/>
    <n v="1495.95"/>
    <n v="346.18"/>
  </r>
  <r>
    <x v="337"/>
    <x v="248"/>
    <x v="2"/>
    <x v="6"/>
    <x v="17"/>
    <s v="Small Business"/>
    <x v="9"/>
    <s v="South"/>
    <s v="James Collins"/>
    <n v="4"/>
    <n v="493.99"/>
    <n v="0.1"/>
    <n v="1778.36"/>
    <n v="334.26"/>
  </r>
  <r>
    <x v="338"/>
    <x v="249"/>
    <x v="2"/>
    <x v="8"/>
    <x v="12"/>
    <s v="Corporate"/>
    <x v="2"/>
    <s v="Northeast"/>
    <s v="Sophia Reed"/>
    <n v="2"/>
    <n v="688.73"/>
    <n v="0.1"/>
    <n v="1239.71"/>
    <n v="109.25"/>
  </r>
  <r>
    <x v="339"/>
    <x v="250"/>
    <x v="2"/>
    <x v="8"/>
    <x v="0"/>
    <s v="Small Business"/>
    <x v="8"/>
    <s v="South"/>
    <s v="Liam Brooks"/>
    <n v="5"/>
    <n v="647.91"/>
    <n v="0.03"/>
    <n v="3142.38"/>
    <n v="515.55999999999995"/>
  </r>
  <r>
    <x v="340"/>
    <x v="251"/>
    <x v="0"/>
    <x v="7"/>
    <x v="14"/>
    <s v="Consumer"/>
    <x v="5"/>
    <s v="West"/>
    <s v="Ava Bennett"/>
    <n v="2"/>
    <n v="466.22"/>
    <n v="0"/>
    <n v="932.44"/>
    <n v="85.08"/>
  </r>
  <r>
    <x v="341"/>
    <x v="252"/>
    <x v="2"/>
    <x v="8"/>
    <x v="3"/>
    <s v="Corporate"/>
    <x v="7"/>
    <s v="West"/>
    <s v="Liam Brooks"/>
    <n v="4"/>
    <n v="628.98"/>
    <n v="7.0000000000000007E-2"/>
    <n v="2339.8000000000002"/>
    <n v="423.92"/>
  </r>
  <r>
    <x v="342"/>
    <x v="249"/>
    <x v="1"/>
    <x v="3"/>
    <x v="4"/>
    <s v="Small Business"/>
    <x v="2"/>
    <s v="Northeast"/>
    <s v="Sophia Reed"/>
    <n v="7"/>
    <n v="97.16"/>
    <n v="0"/>
    <n v="680.12"/>
    <n v="92.23"/>
  </r>
  <r>
    <x v="343"/>
    <x v="253"/>
    <x v="2"/>
    <x v="5"/>
    <x v="4"/>
    <s v="Corporate"/>
    <x v="6"/>
    <s v="West"/>
    <s v="Ava Bennett"/>
    <n v="7"/>
    <n v="327.33"/>
    <n v="0.05"/>
    <n v="2176.75"/>
    <n v="439.5"/>
  </r>
  <r>
    <x v="344"/>
    <x v="254"/>
    <x v="0"/>
    <x v="0"/>
    <x v="16"/>
    <s v="Corporate"/>
    <x v="1"/>
    <s v="South"/>
    <s v="Sophia Reed"/>
    <n v="18"/>
    <n v="97.75"/>
    <n v="0.1"/>
    <n v="1583.57"/>
    <n v="302.95"/>
  </r>
  <r>
    <x v="345"/>
    <x v="255"/>
    <x v="2"/>
    <x v="8"/>
    <x v="7"/>
    <s v="Corporate"/>
    <x v="0"/>
    <s v="Midwest"/>
    <s v="Noah Foster"/>
    <n v="5"/>
    <n v="578.61"/>
    <n v="0"/>
    <n v="2893.04"/>
    <n v="482.09"/>
  </r>
  <r>
    <x v="346"/>
    <x v="251"/>
    <x v="2"/>
    <x v="6"/>
    <x v="2"/>
    <s v="Consumer"/>
    <x v="3"/>
    <s v="South"/>
    <s v="Liam Brooks"/>
    <n v="6"/>
    <n v="520.03"/>
    <n v="0.05"/>
    <n v="2964.17"/>
    <n v="612.36"/>
  </r>
  <r>
    <x v="347"/>
    <x v="247"/>
    <x v="0"/>
    <x v="1"/>
    <x v="7"/>
    <s v="Corporate"/>
    <x v="1"/>
    <s v="South"/>
    <s v="James Collins"/>
    <n v="1"/>
    <n v="1520.61"/>
    <n v="0"/>
    <n v="1520.61"/>
    <n v="122.96"/>
  </r>
  <r>
    <x v="348"/>
    <x v="244"/>
    <x v="1"/>
    <x v="3"/>
    <x v="12"/>
    <s v="Consumer"/>
    <x v="0"/>
    <s v="Midwest"/>
    <s v="Emma Carter"/>
    <n v="3"/>
    <n v="89.46"/>
    <n v="0.1"/>
    <n v="241.53"/>
    <n v="46.82"/>
  </r>
  <r>
    <x v="349"/>
    <x v="256"/>
    <x v="1"/>
    <x v="4"/>
    <x v="9"/>
    <s v="Consumer"/>
    <x v="7"/>
    <s v="West"/>
    <s v="Sophia Reed"/>
    <n v="17"/>
    <n v="35.590000000000003"/>
    <n v="0"/>
    <n v="605.05999999999995"/>
    <n v="87.1"/>
  </r>
  <r>
    <x v="350"/>
    <x v="257"/>
    <x v="2"/>
    <x v="5"/>
    <x v="13"/>
    <s v="Consumer"/>
    <x v="4"/>
    <s v="West"/>
    <s v="Ava Bennett"/>
    <n v="3"/>
    <n v="362.41"/>
    <n v="0"/>
    <n v="1087.22"/>
    <n v="171.47"/>
  </r>
  <r>
    <x v="351"/>
    <x v="258"/>
    <x v="0"/>
    <x v="1"/>
    <x v="17"/>
    <s v="Consumer"/>
    <x v="6"/>
    <s v="West"/>
    <s v="Liam Brooks"/>
    <n v="5"/>
    <n v="1554.31"/>
    <n v="0"/>
    <n v="7771.54"/>
    <n v="1266.24"/>
  </r>
  <r>
    <x v="352"/>
    <x v="259"/>
    <x v="0"/>
    <x v="0"/>
    <x v="17"/>
    <s v="Consumer"/>
    <x v="6"/>
    <s v="West"/>
    <s v="Noah Foster"/>
    <n v="12"/>
    <n v="97.33"/>
    <n v="0"/>
    <n v="1167.97"/>
    <n v="244.98"/>
  </r>
  <r>
    <x v="353"/>
    <x v="257"/>
    <x v="2"/>
    <x v="8"/>
    <x v="4"/>
    <s v="Consumer"/>
    <x v="2"/>
    <s v="Northeast"/>
    <s v="Emma Carter"/>
    <n v="2"/>
    <n v="783.45"/>
    <n v="0.1"/>
    <n v="1410.2"/>
    <n v="116.27"/>
  </r>
  <r>
    <x v="354"/>
    <x v="260"/>
    <x v="1"/>
    <x v="4"/>
    <x v="9"/>
    <s v="Corporate"/>
    <x v="5"/>
    <s v="West"/>
    <s v="Emma Carter"/>
    <n v="11"/>
    <n v="40.54"/>
    <n v="0.1"/>
    <n v="401.39"/>
    <n v="24.58"/>
  </r>
  <r>
    <x v="355"/>
    <x v="261"/>
    <x v="0"/>
    <x v="1"/>
    <x v="5"/>
    <s v="Small Business"/>
    <x v="2"/>
    <s v="Northeast"/>
    <s v="Sophia Reed"/>
    <n v="8"/>
    <n v="1895.72"/>
    <n v="0.03"/>
    <n v="14710.79"/>
    <n v="3186.9"/>
  </r>
  <r>
    <x v="356"/>
    <x v="258"/>
    <x v="0"/>
    <x v="1"/>
    <x v="8"/>
    <s v="Small Business"/>
    <x v="7"/>
    <s v="West"/>
    <s v="Sophia Reed"/>
    <n v="7"/>
    <n v="1701.74"/>
    <n v="0.05"/>
    <n v="11316.56"/>
    <n v="2299.39"/>
  </r>
  <r>
    <x v="357"/>
    <x v="262"/>
    <x v="0"/>
    <x v="1"/>
    <x v="5"/>
    <s v="Corporate"/>
    <x v="5"/>
    <s v="West"/>
    <s v="Noah Foster"/>
    <n v="8"/>
    <n v="1923.14"/>
    <n v="0.1"/>
    <n v="13846.58"/>
    <n v="2389.25"/>
  </r>
  <r>
    <x v="358"/>
    <x v="263"/>
    <x v="2"/>
    <x v="5"/>
    <x v="11"/>
    <s v="Small Business"/>
    <x v="2"/>
    <s v="Northeast"/>
    <s v="Emma Carter"/>
    <n v="7"/>
    <n v="410.31"/>
    <n v="0"/>
    <n v="2872.16"/>
    <n v="580.91999999999996"/>
  </r>
  <r>
    <x v="359"/>
    <x v="264"/>
    <x v="2"/>
    <x v="6"/>
    <x v="0"/>
    <s v="Consumer"/>
    <x v="9"/>
    <s v="South"/>
    <s v="Sophia Reed"/>
    <n v="2"/>
    <n v="511.77"/>
    <n v="0.1"/>
    <n v="921.18"/>
    <n v="130.87"/>
  </r>
  <r>
    <x v="360"/>
    <x v="265"/>
    <x v="0"/>
    <x v="0"/>
    <x v="3"/>
    <s v="Corporate"/>
    <x v="9"/>
    <s v="South"/>
    <s v="James Collins"/>
    <n v="7"/>
    <n v="102.19"/>
    <n v="0.05"/>
    <n v="679.58"/>
    <n v="103.81"/>
  </r>
  <r>
    <x v="361"/>
    <x v="265"/>
    <x v="1"/>
    <x v="4"/>
    <x v="6"/>
    <s v="Small Business"/>
    <x v="1"/>
    <s v="South"/>
    <s v="Emma Carter"/>
    <n v="18"/>
    <n v="34.700000000000003"/>
    <n v="0.1"/>
    <n v="562.19000000000005"/>
    <n v="52.63"/>
  </r>
  <r>
    <x v="362"/>
    <x v="264"/>
    <x v="1"/>
    <x v="4"/>
    <x v="15"/>
    <s v="Corporate"/>
    <x v="9"/>
    <s v="South"/>
    <s v="Noah Foster"/>
    <n v="16"/>
    <n v="32.78"/>
    <n v="0.05"/>
    <n v="498.25"/>
    <n v="97.27"/>
  </r>
  <r>
    <x v="363"/>
    <x v="261"/>
    <x v="1"/>
    <x v="2"/>
    <x v="12"/>
    <s v="Corporate"/>
    <x v="4"/>
    <s v="West"/>
    <s v="Emma Carter"/>
    <n v="11"/>
    <n v="59.95"/>
    <n v="7.0000000000000007E-2"/>
    <n v="613.29999999999995"/>
    <n v="41.44"/>
  </r>
  <r>
    <x v="364"/>
    <x v="266"/>
    <x v="1"/>
    <x v="2"/>
    <x v="15"/>
    <s v="Small Business"/>
    <x v="1"/>
    <s v="South"/>
    <s v="Ava Bennett"/>
    <n v="17"/>
    <n v="59.74"/>
    <n v="0.03"/>
    <n v="985.18"/>
    <n v="166"/>
  </r>
  <r>
    <x v="365"/>
    <x v="267"/>
    <x v="0"/>
    <x v="7"/>
    <x v="10"/>
    <s v="Consumer"/>
    <x v="3"/>
    <s v="South"/>
    <s v="Ava Bennett"/>
    <n v="6"/>
    <n v="424.27"/>
    <n v="0"/>
    <n v="2545.62"/>
    <n v="582.05999999999995"/>
  </r>
  <r>
    <x v="366"/>
    <x v="267"/>
    <x v="0"/>
    <x v="7"/>
    <x v="17"/>
    <s v="Corporate"/>
    <x v="9"/>
    <s v="South"/>
    <s v="Emma Carter"/>
    <n v="7"/>
    <n v="392.35"/>
    <n v="0"/>
    <n v="2746.46"/>
    <n v="634.15"/>
  </r>
  <r>
    <x v="367"/>
    <x v="268"/>
    <x v="0"/>
    <x v="0"/>
    <x v="9"/>
    <s v="Small Business"/>
    <x v="9"/>
    <s v="South"/>
    <s v="Noah Foster"/>
    <n v="18"/>
    <n v="96.94"/>
    <n v="0.05"/>
    <n v="1657.71"/>
    <n v="321.99"/>
  </r>
  <r>
    <x v="368"/>
    <x v="269"/>
    <x v="2"/>
    <x v="8"/>
    <x v="5"/>
    <s v="Consumer"/>
    <x v="4"/>
    <s v="West"/>
    <s v="Ava Bennett"/>
    <n v="3"/>
    <n v="701.22"/>
    <n v="0"/>
    <n v="2103.66"/>
    <n v="255.58"/>
  </r>
  <r>
    <x v="369"/>
    <x v="270"/>
    <x v="1"/>
    <x v="3"/>
    <x v="2"/>
    <s v="Consumer"/>
    <x v="7"/>
    <s v="West"/>
    <s v="James Collins"/>
    <n v="9"/>
    <n v="99.63"/>
    <n v="0.03"/>
    <n v="869.77"/>
    <n v="191.19"/>
  </r>
  <r>
    <x v="370"/>
    <x v="269"/>
    <x v="0"/>
    <x v="7"/>
    <x v="1"/>
    <s v="Small Business"/>
    <x v="9"/>
    <s v="South"/>
    <s v="James Collins"/>
    <n v="6"/>
    <n v="434.7"/>
    <n v="7.0000000000000007E-2"/>
    <n v="2425.64"/>
    <n v="526.61"/>
  </r>
  <r>
    <x v="371"/>
    <x v="271"/>
    <x v="2"/>
    <x v="8"/>
    <x v="7"/>
    <s v="Consumer"/>
    <x v="3"/>
    <s v="South"/>
    <s v="James Collins"/>
    <n v="3"/>
    <n v="652.95000000000005"/>
    <n v="0.1"/>
    <n v="1762.96"/>
    <n v="276.43"/>
  </r>
  <r>
    <x v="372"/>
    <x v="272"/>
    <x v="2"/>
    <x v="8"/>
    <x v="14"/>
    <s v="Consumer"/>
    <x v="9"/>
    <s v="South"/>
    <s v="James Collins"/>
    <n v="7"/>
    <n v="661.47"/>
    <n v="7.0000000000000007E-2"/>
    <n v="4306.17"/>
    <n v="677.36"/>
  </r>
  <r>
    <x v="373"/>
    <x v="270"/>
    <x v="2"/>
    <x v="5"/>
    <x v="8"/>
    <s v="Corporate"/>
    <x v="5"/>
    <s v="West"/>
    <s v="Emma Carter"/>
    <n v="1"/>
    <n v="424.32"/>
    <n v="0"/>
    <n v="424.32"/>
    <n v="18.829999999999998"/>
  </r>
  <r>
    <x v="374"/>
    <x v="273"/>
    <x v="0"/>
    <x v="0"/>
    <x v="17"/>
    <s v="Consumer"/>
    <x v="0"/>
    <s v="Midwest"/>
    <s v="Emma Carter"/>
    <n v="13"/>
    <n v="114.76"/>
    <n v="0"/>
    <n v="1491.89"/>
    <n v="367.93"/>
  </r>
  <r>
    <x v="375"/>
    <x v="274"/>
    <x v="0"/>
    <x v="0"/>
    <x v="8"/>
    <s v="Corporate"/>
    <x v="4"/>
    <s v="West"/>
    <s v="Ava Bennett"/>
    <n v="11"/>
    <n v="114.04"/>
    <n v="0"/>
    <n v="1254.49"/>
    <n v="361.2"/>
  </r>
  <r>
    <x v="376"/>
    <x v="275"/>
    <x v="2"/>
    <x v="5"/>
    <x v="13"/>
    <s v="Corporate"/>
    <x v="5"/>
    <s v="West"/>
    <s v="Ava Bennett"/>
    <n v="8"/>
    <n v="462.99"/>
    <n v="0.1"/>
    <n v="3333.55"/>
    <n v="778.63"/>
  </r>
  <r>
    <x v="377"/>
    <x v="276"/>
    <x v="2"/>
    <x v="6"/>
    <x v="17"/>
    <s v="Consumer"/>
    <x v="9"/>
    <s v="South"/>
    <s v="Liam Brooks"/>
    <n v="5"/>
    <n v="530.29999999999995"/>
    <n v="0.1"/>
    <n v="2386.33"/>
    <n v="333.71"/>
  </r>
  <r>
    <x v="378"/>
    <x v="277"/>
    <x v="0"/>
    <x v="7"/>
    <x v="2"/>
    <s v="Small Business"/>
    <x v="5"/>
    <s v="West"/>
    <s v="Ava Bennett"/>
    <n v="5"/>
    <n v="492.46"/>
    <n v="7.0000000000000007E-2"/>
    <n v="2289.94"/>
    <n v="560.9"/>
  </r>
  <r>
    <x v="379"/>
    <x v="278"/>
    <x v="2"/>
    <x v="5"/>
    <x v="7"/>
    <s v="Small Business"/>
    <x v="5"/>
    <s v="West"/>
    <s v="Ava Bennett"/>
    <n v="1"/>
    <n v="459.54"/>
    <n v="0.1"/>
    <n v="413.58"/>
    <n v="4.51"/>
  </r>
  <r>
    <x v="380"/>
    <x v="279"/>
    <x v="2"/>
    <x v="6"/>
    <x v="4"/>
    <s v="Consumer"/>
    <x v="3"/>
    <s v="South"/>
    <s v="Sophia Reed"/>
    <n v="4"/>
    <n v="573.83000000000004"/>
    <n v="7.0000000000000007E-2"/>
    <n v="2134.66"/>
    <n v="335.59"/>
  </r>
  <r>
    <x v="381"/>
    <x v="269"/>
    <x v="2"/>
    <x v="6"/>
    <x v="4"/>
    <s v="Small Business"/>
    <x v="7"/>
    <s v="West"/>
    <s v="Liam Brooks"/>
    <n v="4"/>
    <n v="603.07000000000005"/>
    <n v="0.03"/>
    <n v="2339.91"/>
    <n v="470.44"/>
  </r>
  <r>
    <x v="382"/>
    <x v="280"/>
    <x v="2"/>
    <x v="8"/>
    <x v="19"/>
    <s v="Corporate"/>
    <x v="4"/>
    <s v="West"/>
    <s v="James Collins"/>
    <n v="6"/>
    <n v="674.39"/>
    <n v="0.1"/>
    <n v="3641.71"/>
    <n v="687.39"/>
  </r>
  <r>
    <x v="383"/>
    <x v="276"/>
    <x v="2"/>
    <x v="8"/>
    <x v="9"/>
    <s v="Small Business"/>
    <x v="7"/>
    <s v="West"/>
    <s v="Sophia Reed"/>
    <n v="5"/>
    <n v="666.16"/>
    <n v="7.0000000000000007E-2"/>
    <n v="3097.66"/>
    <n v="656.7"/>
  </r>
  <r>
    <x v="384"/>
    <x v="273"/>
    <x v="1"/>
    <x v="4"/>
    <x v="10"/>
    <s v="Consumer"/>
    <x v="5"/>
    <s v="West"/>
    <s v="Liam Brooks"/>
    <n v="12"/>
    <n v="42.83"/>
    <n v="0"/>
    <n v="513.96"/>
    <n v="27.02"/>
  </r>
  <r>
    <x v="385"/>
    <x v="279"/>
    <x v="2"/>
    <x v="5"/>
    <x v="17"/>
    <s v="Consumer"/>
    <x v="8"/>
    <s v="South"/>
    <s v="James Collins"/>
    <n v="4"/>
    <n v="425.72"/>
    <n v="0.05"/>
    <n v="1617.74"/>
    <n v="396.58"/>
  </r>
  <r>
    <x v="386"/>
    <x v="281"/>
    <x v="2"/>
    <x v="6"/>
    <x v="19"/>
    <s v="Small Business"/>
    <x v="2"/>
    <s v="Northeast"/>
    <s v="James Collins"/>
    <n v="6"/>
    <n v="473.21"/>
    <n v="0"/>
    <n v="2839.27"/>
    <n v="436.99"/>
  </r>
  <r>
    <x v="387"/>
    <x v="282"/>
    <x v="0"/>
    <x v="0"/>
    <x v="13"/>
    <s v="Small Business"/>
    <x v="1"/>
    <s v="South"/>
    <s v="Noah Foster"/>
    <n v="16"/>
    <n v="91.93"/>
    <n v="0.05"/>
    <n v="1397.34"/>
    <n v="333.31"/>
  </r>
  <r>
    <x v="388"/>
    <x v="283"/>
    <x v="2"/>
    <x v="5"/>
    <x v="4"/>
    <s v="Consumer"/>
    <x v="9"/>
    <s v="South"/>
    <s v="Ava Bennett"/>
    <n v="1"/>
    <n v="295.14"/>
    <n v="0"/>
    <n v="295.14"/>
    <n v="-14.3"/>
  </r>
  <r>
    <x v="389"/>
    <x v="284"/>
    <x v="2"/>
    <x v="8"/>
    <x v="4"/>
    <s v="Small Business"/>
    <x v="9"/>
    <s v="South"/>
    <s v="Noah Foster"/>
    <n v="7"/>
    <n v="507.4"/>
    <n v="0.1"/>
    <n v="3196.59"/>
    <n v="477.34"/>
  </r>
  <r>
    <x v="390"/>
    <x v="285"/>
    <x v="0"/>
    <x v="0"/>
    <x v="12"/>
    <s v="Small Business"/>
    <x v="7"/>
    <s v="West"/>
    <s v="James Collins"/>
    <n v="6"/>
    <n v="90.33"/>
    <n v="0.1"/>
    <n v="487.78"/>
    <n v="20.170000000000002"/>
  </r>
  <r>
    <x v="391"/>
    <x v="286"/>
    <x v="2"/>
    <x v="6"/>
    <x v="9"/>
    <s v="Corporate"/>
    <x v="2"/>
    <s v="Northeast"/>
    <s v="Emma Carter"/>
    <n v="7"/>
    <n v="508.2"/>
    <n v="0"/>
    <n v="3557.41"/>
    <n v="662.41"/>
  </r>
  <r>
    <x v="392"/>
    <x v="287"/>
    <x v="0"/>
    <x v="7"/>
    <x v="7"/>
    <s v="Corporate"/>
    <x v="4"/>
    <s v="West"/>
    <s v="Liam Brooks"/>
    <n v="4"/>
    <n v="359.93"/>
    <n v="0.03"/>
    <n v="1396.51"/>
    <n v="229.94"/>
  </r>
  <r>
    <x v="393"/>
    <x v="288"/>
    <x v="0"/>
    <x v="0"/>
    <x v="12"/>
    <s v="Corporate"/>
    <x v="6"/>
    <s v="West"/>
    <s v="Sophia Reed"/>
    <n v="4"/>
    <n v="80.41"/>
    <n v="0"/>
    <n v="321.63"/>
    <n v="23.6"/>
  </r>
  <r>
    <x v="394"/>
    <x v="283"/>
    <x v="1"/>
    <x v="2"/>
    <x v="9"/>
    <s v="Small Business"/>
    <x v="1"/>
    <s v="South"/>
    <s v="Ava Bennett"/>
    <n v="4"/>
    <n v="50.46"/>
    <n v="0.03"/>
    <n v="195.77"/>
    <n v="5.64"/>
  </r>
  <r>
    <x v="395"/>
    <x v="284"/>
    <x v="2"/>
    <x v="6"/>
    <x v="14"/>
    <s v="Consumer"/>
    <x v="2"/>
    <s v="Northeast"/>
    <s v="Sophia Reed"/>
    <n v="6"/>
    <n v="537.74"/>
    <n v="0"/>
    <n v="3226.45"/>
    <n v="561.12"/>
  </r>
  <r>
    <x v="396"/>
    <x v="289"/>
    <x v="2"/>
    <x v="6"/>
    <x v="13"/>
    <s v="Small Business"/>
    <x v="7"/>
    <s v="West"/>
    <s v="Liam Brooks"/>
    <n v="6"/>
    <n v="494.74"/>
    <n v="0.05"/>
    <n v="2820.03"/>
    <n v="534.74"/>
  </r>
  <r>
    <x v="397"/>
    <x v="290"/>
    <x v="2"/>
    <x v="5"/>
    <x v="18"/>
    <s v="Corporate"/>
    <x v="2"/>
    <s v="Northeast"/>
    <s v="Sophia Reed"/>
    <n v="3"/>
    <n v="359.48"/>
    <n v="0"/>
    <n v="1078.44"/>
    <n v="114.31"/>
  </r>
  <r>
    <x v="398"/>
    <x v="281"/>
    <x v="2"/>
    <x v="5"/>
    <x v="1"/>
    <s v="Consumer"/>
    <x v="5"/>
    <s v="West"/>
    <s v="Emma Carter"/>
    <n v="7"/>
    <n v="366.12"/>
    <n v="0"/>
    <n v="2562.84"/>
    <n v="633.17999999999995"/>
  </r>
  <r>
    <x v="399"/>
    <x v="291"/>
    <x v="2"/>
    <x v="8"/>
    <x v="16"/>
    <s v="Small Business"/>
    <x v="2"/>
    <s v="Northeast"/>
    <s v="Liam Brooks"/>
    <n v="5"/>
    <n v="580.39"/>
    <n v="7.0000000000000007E-2"/>
    <n v="2698.82"/>
    <n v="485.16"/>
  </r>
  <r>
    <x v="400"/>
    <x v="292"/>
    <x v="0"/>
    <x v="0"/>
    <x v="18"/>
    <s v="Consumer"/>
    <x v="1"/>
    <s v="South"/>
    <s v="Liam Brooks"/>
    <n v="18"/>
    <n v="85.8"/>
    <n v="0"/>
    <n v="1544.38"/>
    <n v="292.33999999999997"/>
  </r>
  <r>
    <x v="401"/>
    <x v="293"/>
    <x v="1"/>
    <x v="2"/>
    <x v="11"/>
    <s v="Corporate"/>
    <x v="1"/>
    <s v="South"/>
    <s v="Emma Carter"/>
    <n v="10"/>
    <n v="48.47"/>
    <n v="0"/>
    <n v="484.71"/>
    <n v="51.44"/>
  </r>
  <r>
    <x v="402"/>
    <x v="294"/>
    <x v="1"/>
    <x v="4"/>
    <x v="3"/>
    <s v="Corporate"/>
    <x v="6"/>
    <s v="West"/>
    <s v="James Collins"/>
    <n v="12"/>
    <n v="26.77"/>
    <n v="7.0000000000000007E-2"/>
    <n v="298.77999999999997"/>
    <n v="38.18"/>
  </r>
  <r>
    <x v="403"/>
    <x v="294"/>
    <x v="2"/>
    <x v="6"/>
    <x v="5"/>
    <s v="Small Business"/>
    <x v="9"/>
    <s v="South"/>
    <s v="James Collins"/>
    <n v="7"/>
    <n v="431.44"/>
    <n v="0.1"/>
    <n v="2718.08"/>
    <n v="702.21"/>
  </r>
  <r>
    <x v="404"/>
    <x v="295"/>
    <x v="1"/>
    <x v="2"/>
    <x v="8"/>
    <s v="Small Business"/>
    <x v="4"/>
    <s v="West"/>
    <s v="Sophia Reed"/>
    <n v="17"/>
    <n v="50.37"/>
    <n v="7.0000000000000007E-2"/>
    <n v="796.35"/>
    <n v="41.93"/>
  </r>
  <r>
    <x v="405"/>
    <x v="296"/>
    <x v="0"/>
    <x v="1"/>
    <x v="1"/>
    <s v="Consumer"/>
    <x v="8"/>
    <s v="South"/>
    <s v="Sophia Reed"/>
    <n v="4"/>
    <n v="1368.1"/>
    <n v="0"/>
    <n v="5472.41"/>
    <n v="837.05"/>
  </r>
  <r>
    <x v="406"/>
    <x v="297"/>
    <x v="2"/>
    <x v="5"/>
    <x v="6"/>
    <s v="Consumer"/>
    <x v="7"/>
    <s v="West"/>
    <s v="Emma Carter"/>
    <n v="8"/>
    <n v="335.35"/>
    <n v="0.05"/>
    <n v="2548.64"/>
    <n v="514.52"/>
  </r>
  <r>
    <x v="407"/>
    <x v="298"/>
    <x v="0"/>
    <x v="1"/>
    <x v="7"/>
    <s v="Consumer"/>
    <x v="5"/>
    <s v="West"/>
    <s v="Ava Bennett"/>
    <n v="3"/>
    <n v="1491.4"/>
    <n v="7.0000000000000007E-2"/>
    <n v="4161.01"/>
    <n v="506.41"/>
  </r>
  <r>
    <x v="408"/>
    <x v="299"/>
    <x v="0"/>
    <x v="7"/>
    <x v="1"/>
    <s v="Small Business"/>
    <x v="2"/>
    <s v="Northeast"/>
    <s v="Ava Bennett"/>
    <n v="1"/>
    <n v="434.47"/>
    <n v="0.1"/>
    <n v="391.02"/>
    <n v="36.07"/>
  </r>
  <r>
    <x v="409"/>
    <x v="300"/>
    <x v="0"/>
    <x v="7"/>
    <x v="11"/>
    <s v="Small Business"/>
    <x v="9"/>
    <s v="South"/>
    <s v="Liam Brooks"/>
    <n v="4"/>
    <n v="363.55"/>
    <n v="7.0000000000000007E-2"/>
    <n v="1352.4"/>
    <n v="168.8"/>
  </r>
  <r>
    <x v="410"/>
    <x v="301"/>
    <x v="2"/>
    <x v="6"/>
    <x v="13"/>
    <s v="Corporate"/>
    <x v="4"/>
    <s v="West"/>
    <s v="James Collins"/>
    <n v="6"/>
    <n v="489.63"/>
    <n v="7.0000000000000007E-2"/>
    <n v="2732.13"/>
    <n v="612.9"/>
  </r>
  <r>
    <x v="411"/>
    <x v="302"/>
    <x v="0"/>
    <x v="1"/>
    <x v="17"/>
    <s v="Consumer"/>
    <x v="5"/>
    <s v="West"/>
    <s v="Ava Bennett"/>
    <n v="7"/>
    <n v="1642.04"/>
    <n v="7.0000000000000007E-2"/>
    <n v="10689.69"/>
    <n v="1509.48"/>
  </r>
  <r>
    <x v="412"/>
    <x v="297"/>
    <x v="2"/>
    <x v="5"/>
    <x v="1"/>
    <s v="Corporate"/>
    <x v="4"/>
    <s v="West"/>
    <s v="Emma Carter"/>
    <n v="8"/>
    <n v="318.83999999999997"/>
    <n v="7.0000000000000007E-2"/>
    <n v="2372.1999999999998"/>
    <n v="564.44000000000005"/>
  </r>
  <r>
    <x v="413"/>
    <x v="303"/>
    <x v="2"/>
    <x v="8"/>
    <x v="3"/>
    <s v="Consumer"/>
    <x v="3"/>
    <s v="South"/>
    <s v="Ava Bennett"/>
    <n v="7"/>
    <n v="517.07000000000005"/>
    <n v="0.05"/>
    <n v="3438.48"/>
    <n v="725.65"/>
  </r>
  <r>
    <x v="414"/>
    <x v="302"/>
    <x v="2"/>
    <x v="6"/>
    <x v="9"/>
    <s v="Small Business"/>
    <x v="9"/>
    <s v="South"/>
    <s v="Liam Brooks"/>
    <n v="5"/>
    <n v="438.26"/>
    <n v="0"/>
    <n v="2191.29"/>
    <n v="561.19000000000005"/>
  </r>
  <r>
    <x v="415"/>
    <x v="304"/>
    <x v="2"/>
    <x v="8"/>
    <x v="17"/>
    <s v="Corporate"/>
    <x v="0"/>
    <s v="Midwest"/>
    <s v="James Collins"/>
    <n v="1"/>
    <n v="559.80999999999995"/>
    <n v="0"/>
    <n v="559.80999999999995"/>
    <n v="47.63"/>
  </r>
  <r>
    <x v="416"/>
    <x v="303"/>
    <x v="2"/>
    <x v="8"/>
    <x v="16"/>
    <s v="Corporate"/>
    <x v="7"/>
    <s v="West"/>
    <s v="Liam Brooks"/>
    <n v="7"/>
    <n v="599.39"/>
    <n v="0.03"/>
    <n v="4069.84"/>
    <n v="660.23"/>
  </r>
  <r>
    <x v="417"/>
    <x v="305"/>
    <x v="1"/>
    <x v="3"/>
    <x v="8"/>
    <s v="Corporate"/>
    <x v="0"/>
    <s v="Midwest"/>
    <s v="Noah Foster"/>
    <n v="17"/>
    <n v="76.319999999999993"/>
    <n v="7.0000000000000007E-2"/>
    <n v="1206.6400000000001"/>
    <n v="242.7"/>
  </r>
  <r>
    <x v="418"/>
    <x v="306"/>
    <x v="2"/>
    <x v="8"/>
    <x v="7"/>
    <s v="Consumer"/>
    <x v="7"/>
    <s v="West"/>
    <s v="Emma Carter"/>
    <n v="4"/>
    <n v="582.71"/>
    <n v="0.1"/>
    <n v="2097.75"/>
    <n v="478.32"/>
  </r>
  <r>
    <x v="419"/>
    <x v="307"/>
    <x v="1"/>
    <x v="3"/>
    <x v="3"/>
    <s v="Corporate"/>
    <x v="9"/>
    <s v="South"/>
    <s v="Noah Foster"/>
    <n v="2"/>
    <n v="82.44"/>
    <n v="0"/>
    <n v="164.88"/>
    <n v="-4.9800000000000004"/>
  </r>
  <r>
    <x v="420"/>
    <x v="308"/>
    <x v="0"/>
    <x v="7"/>
    <x v="16"/>
    <s v="Corporate"/>
    <x v="1"/>
    <s v="South"/>
    <s v="Ava Bennett"/>
    <n v="1"/>
    <n v="396.73"/>
    <n v="0.05"/>
    <n v="376.89"/>
    <n v="3.75"/>
  </r>
  <r>
    <x v="421"/>
    <x v="308"/>
    <x v="0"/>
    <x v="1"/>
    <x v="15"/>
    <s v="Corporate"/>
    <x v="6"/>
    <s v="West"/>
    <s v="Liam Brooks"/>
    <n v="5"/>
    <n v="1249.48"/>
    <n v="7.0000000000000007E-2"/>
    <n v="5810.06"/>
    <n v="975.05"/>
  </r>
  <r>
    <x v="422"/>
    <x v="309"/>
    <x v="0"/>
    <x v="0"/>
    <x v="16"/>
    <s v="Corporate"/>
    <x v="5"/>
    <s v="West"/>
    <s v="James Collins"/>
    <n v="2"/>
    <n v="117.46"/>
    <n v="0"/>
    <n v="234.93"/>
    <n v="-32.5"/>
  </r>
  <r>
    <x v="423"/>
    <x v="310"/>
    <x v="2"/>
    <x v="8"/>
    <x v="14"/>
    <s v="Corporate"/>
    <x v="7"/>
    <s v="West"/>
    <s v="Ava Bennett"/>
    <n v="1"/>
    <n v="625.48"/>
    <n v="0"/>
    <n v="625.48"/>
    <n v="63.62"/>
  </r>
  <r>
    <x v="424"/>
    <x v="311"/>
    <x v="2"/>
    <x v="8"/>
    <x v="13"/>
    <s v="Corporate"/>
    <x v="3"/>
    <s v="South"/>
    <s v="Ava Bennett"/>
    <n v="4"/>
    <n v="550.70000000000005"/>
    <n v="0.05"/>
    <n v="2092.65"/>
    <n v="388.07"/>
  </r>
  <r>
    <x v="425"/>
    <x v="312"/>
    <x v="2"/>
    <x v="5"/>
    <x v="4"/>
    <s v="Consumer"/>
    <x v="4"/>
    <s v="West"/>
    <s v="Sophia Reed"/>
    <n v="6"/>
    <n v="341.74"/>
    <n v="7.0000000000000007E-2"/>
    <n v="1906.92"/>
    <n v="419.82"/>
  </r>
  <r>
    <x v="426"/>
    <x v="313"/>
    <x v="1"/>
    <x v="3"/>
    <x v="8"/>
    <s v="Consumer"/>
    <x v="6"/>
    <s v="West"/>
    <s v="Noah Foster"/>
    <n v="9"/>
    <n v="81.069999999999993"/>
    <n v="0.05"/>
    <n v="693.19"/>
    <n v="105.54"/>
  </r>
  <r>
    <x v="427"/>
    <x v="309"/>
    <x v="1"/>
    <x v="2"/>
    <x v="4"/>
    <s v="Small Business"/>
    <x v="0"/>
    <s v="Midwest"/>
    <s v="James Collins"/>
    <n v="9"/>
    <n v="50.65"/>
    <n v="0"/>
    <n v="455.88"/>
    <n v="56.91"/>
  </r>
  <r>
    <x v="428"/>
    <x v="314"/>
    <x v="2"/>
    <x v="6"/>
    <x v="13"/>
    <s v="Corporate"/>
    <x v="5"/>
    <s v="West"/>
    <s v="Sophia Reed"/>
    <n v="2"/>
    <n v="549.66"/>
    <n v="0.1"/>
    <n v="989.39"/>
    <n v="227.35"/>
  </r>
  <r>
    <x v="429"/>
    <x v="315"/>
    <x v="1"/>
    <x v="4"/>
    <x v="17"/>
    <s v="Consumer"/>
    <x v="3"/>
    <s v="South"/>
    <s v="Sophia Reed"/>
    <n v="7"/>
    <n v="31.69"/>
    <n v="0.1"/>
    <n v="199.64"/>
    <n v="27.15"/>
  </r>
  <r>
    <x v="430"/>
    <x v="316"/>
    <x v="0"/>
    <x v="0"/>
    <x v="13"/>
    <s v="Corporate"/>
    <x v="1"/>
    <s v="South"/>
    <s v="Liam Brooks"/>
    <n v="8"/>
    <n v="100.66"/>
    <n v="7.0000000000000007E-2"/>
    <n v="748.87"/>
    <n v="104.12"/>
  </r>
  <r>
    <x v="431"/>
    <x v="312"/>
    <x v="0"/>
    <x v="0"/>
    <x v="18"/>
    <s v="Corporate"/>
    <x v="6"/>
    <s v="West"/>
    <s v="Ava Bennett"/>
    <n v="3"/>
    <n v="93"/>
    <n v="0.03"/>
    <n v="270.62"/>
    <n v="3.86"/>
  </r>
  <r>
    <x v="432"/>
    <x v="317"/>
    <x v="1"/>
    <x v="4"/>
    <x v="1"/>
    <s v="Small Business"/>
    <x v="2"/>
    <s v="Northeast"/>
    <s v="Noah Foster"/>
    <n v="9"/>
    <n v="36.29"/>
    <n v="0"/>
    <n v="326.57"/>
    <n v="0.61"/>
  </r>
  <r>
    <x v="433"/>
    <x v="313"/>
    <x v="2"/>
    <x v="5"/>
    <x v="16"/>
    <s v="Small Business"/>
    <x v="4"/>
    <s v="West"/>
    <s v="James Collins"/>
    <n v="3"/>
    <n v="319.89"/>
    <n v="0"/>
    <n v="959.68"/>
    <n v="174.34"/>
  </r>
  <r>
    <x v="434"/>
    <x v="318"/>
    <x v="0"/>
    <x v="0"/>
    <x v="8"/>
    <s v="Consumer"/>
    <x v="1"/>
    <s v="South"/>
    <s v="Emma Carter"/>
    <n v="12"/>
    <n v="94.34"/>
    <n v="0.03"/>
    <n v="1098.1600000000001"/>
    <n v="248.79"/>
  </r>
  <r>
    <x v="435"/>
    <x v="319"/>
    <x v="1"/>
    <x v="3"/>
    <x v="16"/>
    <s v="Corporate"/>
    <x v="3"/>
    <s v="South"/>
    <s v="Noah Foster"/>
    <n v="15"/>
    <n v="76.72"/>
    <n v="0.1"/>
    <n v="1035.74"/>
    <n v="217.94"/>
  </r>
  <r>
    <x v="436"/>
    <x v="311"/>
    <x v="1"/>
    <x v="4"/>
    <x v="14"/>
    <s v="Corporate"/>
    <x v="2"/>
    <s v="Northeast"/>
    <s v="Ava Bennett"/>
    <n v="9"/>
    <n v="36.6"/>
    <n v="0.1"/>
    <n v="296.44"/>
    <n v="29.88"/>
  </r>
  <r>
    <x v="437"/>
    <x v="320"/>
    <x v="0"/>
    <x v="1"/>
    <x v="11"/>
    <s v="Corporate"/>
    <x v="2"/>
    <s v="Northeast"/>
    <s v="Liam Brooks"/>
    <n v="7"/>
    <n v="1597.48"/>
    <n v="0.1"/>
    <n v="10064.11"/>
    <n v="1769.4"/>
  </r>
  <r>
    <x v="438"/>
    <x v="321"/>
    <x v="1"/>
    <x v="4"/>
    <x v="14"/>
    <s v="Corporate"/>
    <x v="4"/>
    <s v="West"/>
    <s v="Noah Foster"/>
    <n v="5"/>
    <n v="32.54"/>
    <n v="0"/>
    <n v="162.71"/>
    <n v="4.8499999999999996"/>
  </r>
  <r>
    <x v="439"/>
    <x v="322"/>
    <x v="0"/>
    <x v="7"/>
    <x v="13"/>
    <s v="Small Business"/>
    <x v="3"/>
    <s v="South"/>
    <s v="Sophia Reed"/>
    <n v="5"/>
    <n v="361.75"/>
    <n v="0.05"/>
    <n v="1718.32"/>
    <n v="203.3"/>
  </r>
  <r>
    <x v="440"/>
    <x v="323"/>
    <x v="0"/>
    <x v="0"/>
    <x v="12"/>
    <s v="Corporate"/>
    <x v="9"/>
    <s v="South"/>
    <s v="Sophia Reed"/>
    <n v="13"/>
    <n v="89.26"/>
    <n v="7.0000000000000007E-2"/>
    <n v="1079.2"/>
    <n v="218.24"/>
  </r>
  <r>
    <x v="441"/>
    <x v="324"/>
    <x v="1"/>
    <x v="3"/>
    <x v="15"/>
    <s v="Consumer"/>
    <x v="0"/>
    <s v="Midwest"/>
    <s v="Liam Brooks"/>
    <n v="7"/>
    <n v="85.72"/>
    <n v="0.03"/>
    <n v="582.04999999999995"/>
    <n v="80.430000000000007"/>
  </r>
  <r>
    <x v="442"/>
    <x v="325"/>
    <x v="0"/>
    <x v="1"/>
    <x v="6"/>
    <s v="Corporate"/>
    <x v="2"/>
    <s v="Northeast"/>
    <s v="Sophia Reed"/>
    <n v="6"/>
    <n v="1631.45"/>
    <n v="0.1"/>
    <n v="8809.84"/>
    <n v="1346.32"/>
  </r>
  <r>
    <x v="443"/>
    <x v="325"/>
    <x v="1"/>
    <x v="4"/>
    <x v="1"/>
    <s v="Small Business"/>
    <x v="9"/>
    <s v="South"/>
    <s v="Noah Foster"/>
    <n v="7"/>
    <n v="28.81"/>
    <n v="0"/>
    <n v="201.7"/>
    <n v="10.79"/>
  </r>
  <r>
    <x v="444"/>
    <x v="324"/>
    <x v="2"/>
    <x v="6"/>
    <x v="17"/>
    <s v="Corporate"/>
    <x v="8"/>
    <s v="South"/>
    <s v="Noah Foster"/>
    <n v="2"/>
    <n v="491.45"/>
    <n v="0.05"/>
    <n v="933.76"/>
    <n v="195.47"/>
  </r>
  <r>
    <x v="445"/>
    <x v="326"/>
    <x v="2"/>
    <x v="5"/>
    <x v="13"/>
    <s v="Consumer"/>
    <x v="8"/>
    <s v="South"/>
    <s v="Liam Brooks"/>
    <n v="2"/>
    <n v="358.66"/>
    <n v="0.05"/>
    <n v="681.46"/>
    <n v="101.82"/>
  </r>
  <r>
    <x v="446"/>
    <x v="320"/>
    <x v="1"/>
    <x v="3"/>
    <x v="7"/>
    <s v="Consumer"/>
    <x v="2"/>
    <s v="Northeast"/>
    <s v="Liam Brooks"/>
    <n v="2"/>
    <n v="89.68"/>
    <n v="0.03"/>
    <n v="173.97"/>
    <n v="16.79"/>
  </r>
  <r>
    <x v="447"/>
    <x v="327"/>
    <x v="1"/>
    <x v="3"/>
    <x v="12"/>
    <s v="Small Business"/>
    <x v="0"/>
    <s v="Midwest"/>
    <s v="Liam Brooks"/>
    <n v="7"/>
    <n v="85.14"/>
    <n v="0.05"/>
    <n v="566.19000000000005"/>
    <n v="86.62"/>
  </r>
  <r>
    <x v="448"/>
    <x v="328"/>
    <x v="1"/>
    <x v="3"/>
    <x v="10"/>
    <s v="Small Business"/>
    <x v="4"/>
    <s v="West"/>
    <s v="Noah Foster"/>
    <n v="9"/>
    <n v="88.51"/>
    <n v="0.05"/>
    <n v="756.76"/>
    <n v="119.01"/>
  </r>
  <r>
    <x v="449"/>
    <x v="320"/>
    <x v="1"/>
    <x v="2"/>
    <x v="1"/>
    <s v="Corporate"/>
    <x v="5"/>
    <s v="West"/>
    <s v="Sophia Reed"/>
    <n v="11"/>
    <n v="59.28"/>
    <n v="0"/>
    <n v="652.04"/>
    <n v="84.01"/>
  </r>
  <r>
    <x v="450"/>
    <x v="324"/>
    <x v="1"/>
    <x v="2"/>
    <x v="10"/>
    <s v="Consumer"/>
    <x v="7"/>
    <s v="West"/>
    <s v="Liam Brooks"/>
    <n v="2"/>
    <n v="53.83"/>
    <n v="0"/>
    <n v="107.67"/>
    <n v="-21.12"/>
  </r>
  <r>
    <x v="451"/>
    <x v="322"/>
    <x v="0"/>
    <x v="1"/>
    <x v="8"/>
    <s v="Corporate"/>
    <x v="7"/>
    <s v="West"/>
    <s v="Sophia Reed"/>
    <n v="2"/>
    <n v="1469.45"/>
    <n v="0"/>
    <n v="2938.89"/>
    <n v="431.09"/>
  </r>
  <r>
    <x v="452"/>
    <x v="321"/>
    <x v="2"/>
    <x v="6"/>
    <x v="10"/>
    <s v="Consumer"/>
    <x v="0"/>
    <s v="Midwest"/>
    <s v="James Collins"/>
    <n v="5"/>
    <n v="476.25"/>
    <n v="0"/>
    <n v="2381.27"/>
    <n v="433.23"/>
  </r>
  <r>
    <x v="453"/>
    <x v="329"/>
    <x v="1"/>
    <x v="3"/>
    <x v="13"/>
    <s v="Consumer"/>
    <x v="6"/>
    <s v="West"/>
    <s v="Ava Bennett"/>
    <n v="17"/>
    <n v="76.42"/>
    <n v="0"/>
    <n v="1299.17"/>
    <n v="180.16"/>
  </r>
  <r>
    <x v="454"/>
    <x v="330"/>
    <x v="0"/>
    <x v="1"/>
    <x v="13"/>
    <s v="Corporate"/>
    <x v="0"/>
    <s v="Midwest"/>
    <s v="James Collins"/>
    <n v="8"/>
    <n v="1445.49"/>
    <n v="0"/>
    <n v="11563.92"/>
    <n v="1686.13"/>
  </r>
  <r>
    <x v="455"/>
    <x v="331"/>
    <x v="1"/>
    <x v="4"/>
    <x v="16"/>
    <s v="Small Business"/>
    <x v="6"/>
    <s v="West"/>
    <s v="James Collins"/>
    <n v="3"/>
    <n v="29.99"/>
    <n v="0"/>
    <n v="89.98"/>
    <n v="-34.83"/>
  </r>
  <r>
    <x v="456"/>
    <x v="332"/>
    <x v="2"/>
    <x v="8"/>
    <x v="17"/>
    <s v="Small Business"/>
    <x v="2"/>
    <s v="Northeast"/>
    <s v="Noah Foster"/>
    <n v="1"/>
    <n v="648.66"/>
    <n v="0.1"/>
    <n v="583.79"/>
    <n v="-7.2"/>
  </r>
  <r>
    <x v="457"/>
    <x v="333"/>
    <x v="0"/>
    <x v="0"/>
    <x v="17"/>
    <s v="Small Business"/>
    <x v="5"/>
    <s v="West"/>
    <s v="James Collins"/>
    <n v="5"/>
    <n v="116.16"/>
    <n v="0"/>
    <n v="580.79999999999995"/>
    <n v="72.36"/>
  </r>
  <r>
    <x v="458"/>
    <x v="334"/>
    <x v="1"/>
    <x v="2"/>
    <x v="12"/>
    <s v="Consumer"/>
    <x v="5"/>
    <s v="West"/>
    <s v="Emma Carter"/>
    <n v="10"/>
    <n v="61.16"/>
    <n v="0.03"/>
    <n v="593.22"/>
    <n v="27.42"/>
  </r>
  <r>
    <x v="459"/>
    <x v="335"/>
    <x v="0"/>
    <x v="1"/>
    <x v="2"/>
    <s v="Small Business"/>
    <x v="1"/>
    <s v="South"/>
    <s v="Emma Carter"/>
    <n v="3"/>
    <n v="1547.39"/>
    <n v="7.0000000000000007E-2"/>
    <n v="4317.21"/>
    <n v="535.15"/>
  </r>
  <r>
    <x v="460"/>
    <x v="336"/>
    <x v="0"/>
    <x v="0"/>
    <x v="18"/>
    <s v="Corporate"/>
    <x v="6"/>
    <s v="West"/>
    <s v="Sophia Reed"/>
    <n v="4"/>
    <n v="90"/>
    <n v="0.05"/>
    <n v="341.99"/>
    <n v="-4.41"/>
  </r>
  <r>
    <x v="461"/>
    <x v="336"/>
    <x v="0"/>
    <x v="1"/>
    <x v="7"/>
    <s v="Consumer"/>
    <x v="3"/>
    <s v="South"/>
    <s v="Ava Bennett"/>
    <n v="2"/>
    <n v="1327.5"/>
    <n v="0"/>
    <n v="2654.99"/>
    <n v="358.17"/>
  </r>
  <r>
    <x v="462"/>
    <x v="332"/>
    <x v="1"/>
    <x v="4"/>
    <x v="19"/>
    <s v="Consumer"/>
    <x v="1"/>
    <s v="South"/>
    <s v="Noah Foster"/>
    <n v="13"/>
    <n v="34.340000000000003"/>
    <n v="0.03"/>
    <n v="433.01"/>
    <n v="65.709999999999994"/>
  </r>
  <r>
    <x v="463"/>
    <x v="337"/>
    <x v="2"/>
    <x v="8"/>
    <x v="11"/>
    <s v="Corporate"/>
    <x v="4"/>
    <s v="West"/>
    <s v="Ava Bennett"/>
    <n v="3"/>
    <n v="610.13"/>
    <n v="0.03"/>
    <n v="1775.49"/>
    <n v="344.45"/>
  </r>
  <r>
    <x v="464"/>
    <x v="336"/>
    <x v="2"/>
    <x v="5"/>
    <x v="1"/>
    <s v="Corporate"/>
    <x v="8"/>
    <s v="South"/>
    <s v="Noah Foster"/>
    <n v="5"/>
    <n v="377.68"/>
    <n v="7.0000000000000007E-2"/>
    <n v="1756.19"/>
    <n v="384.18"/>
  </r>
  <r>
    <x v="465"/>
    <x v="338"/>
    <x v="2"/>
    <x v="8"/>
    <x v="19"/>
    <s v="Consumer"/>
    <x v="2"/>
    <s v="Northeast"/>
    <s v="Sophia Reed"/>
    <n v="4"/>
    <n v="667.51"/>
    <n v="0"/>
    <n v="2670.05"/>
    <n v="498.42"/>
  </r>
  <r>
    <x v="466"/>
    <x v="334"/>
    <x v="0"/>
    <x v="0"/>
    <x v="12"/>
    <s v="Corporate"/>
    <x v="6"/>
    <s v="West"/>
    <s v="Ava Bennett"/>
    <n v="11"/>
    <n v="90.95"/>
    <n v="0.1"/>
    <n v="900.42"/>
    <n v="224.14"/>
  </r>
  <r>
    <x v="467"/>
    <x v="338"/>
    <x v="0"/>
    <x v="1"/>
    <x v="5"/>
    <s v="Corporate"/>
    <x v="2"/>
    <s v="Northeast"/>
    <s v="Liam Brooks"/>
    <n v="2"/>
    <n v="1642.16"/>
    <n v="0"/>
    <n v="3284.32"/>
    <n v="370.41"/>
  </r>
  <r>
    <x v="468"/>
    <x v="339"/>
    <x v="2"/>
    <x v="8"/>
    <x v="18"/>
    <s v="Consumer"/>
    <x v="4"/>
    <s v="West"/>
    <s v="Ava Bennett"/>
    <n v="5"/>
    <n v="568.55999999999995"/>
    <n v="0"/>
    <n v="2842.8"/>
    <n v="576.73"/>
  </r>
  <r>
    <x v="469"/>
    <x v="340"/>
    <x v="2"/>
    <x v="8"/>
    <x v="15"/>
    <s v="Consumer"/>
    <x v="8"/>
    <s v="South"/>
    <s v="Emma Carter"/>
    <n v="6"/>
    <n v="653.71"/>
    <n v="0.05"/>
    <n v="3726.17"/>
    <n v="755.52"/>
  </r>
  <r>
    <x v="470"/>
    <x v="341"/>
    <x v="2"/>
    <x v="8"/>
    <x v="3"/>
    <s v="Consumer"/>
    <x v="4"/>
    <s v="West"/>
    <s v="Emma Carter"/>
    <n v="5"/>
    <n v="570.99"/>
    <n v="0"/>
    <n v="2854.93"/>
    <n v="667.44"/>
  </r>
  <r>
    <x v="471"/>
    <x v="342"/>
    <x v="2"/>
    <x v="8"/>
    <x v="17"/>
    <s v="Consumer"/>
    <x v="1"/>
    <s v="South"/>
    <s v="James Collins"/>
    <n v="4"/>
    <n v="624.48"/>
    <n v="0"/>
    <n v="2497.91"/>
    <n v="436.02"/>
  </r>
  <r>
    <x v="472"/>
    <x v="343"/>
    <x v="2"/>
    <x v="8"/>
    <x v="9"/>
    <s v="Corporate"/>
    <x v="7"/>
    <s v="West"/>
    <s v="Liam Brooks"/>
    <n v="7"/>
    <n v="649.27"/>
    <n v="0.1"/>
    <n v="4090.4"/>
    <n v="572.87"/>
  </r>
  <r>
    <x v="473"/>
    <x v="344"/>
    <x v="1"/>
    <x v="4"/>
    <x v="6"/>
    <s v="Small Business"/>
    <x v="4"/>
    <s v="West"/>
    <s v="Noah Foster"/>
    <n v="15"/>
    <n v="34.79"/>
    <n v="0.03"/>
    <n v="506.27"/>
    <n v="65.510000000000005"/>
  </r>
  <r>
    <x v="474"/>
    <x v="345"/>
    <x v="1"/>
    <x v="3"/>
    <x v="16"/>
    <s v="Small Business"/>
    <x v="0"/>
    <s v="Midwest"/>
    <s v="Noah Foster"/>
    <n v="14"/>
    <n v="82.17"/>
    <n v="0"/>
    <n v="1150.3800000000001"/>
    <n v="257.55"/>
  </r>
  <r>
    <x v="475"/>
    <x v="345"/>
    <x v="0"/>
    <x v="7"/>
    <x v="10"/>
    <s v="Corporate"/>
    <x v="5"/>
    <s v="West"/>
    <s v="Liam Brooks"/>
    <n v="6"/>
    <n v="440.96"/>
    <n v="0.1"/>
    <n v="2381.1999999999998"/>
    <n v="474.15"/>
  </r>
  <r>
    <x v="476"/>
    <x v="346"/>
    <x v="2"/>
    <x v="6"/>
    <x v="7"/>
    <s v="Corporate"/>
    <x v="9"/>
    <s v="South"/>
    <s v="Emma Carter"/>
    <n v="8"/>
    <n v="476.21"/>
    <n v="0"/>
    <n v="3809.66"/>
    <n v="687.38"/>
  </r>
  <r>
    <x v="477"/>
    <x v="347"/>
    <x v="0"/>
    <x v="7"/>
    <x v="4"/>
    <s v="Consumer"/>
    <x v="0"/>
    <s v="Midwest"/>
    <s v="Noah Foster"/>
    <n v="4"/>
    <n v="413.23"/>
    <n v="0.1"/>
    <n v="1487.63"/>
    <n v="230.75"/>
  </r>
  <r>
    <x v="478"/>
    <x v="348"/>
    <x v="2"/>
    <x v="6"/>
    <x v="9"/>
    <s v="Consumer"/>
    <x v="9"/>
    <s v="South"/>
    <s v="James Collins"/>
    <n v="5"/>
    <n v="454.77"/>
    <n v="7.0000000000000007E-2"/>
    <n v="2114.67"/>
    <n v="359.69"/>
  </r>
  <r>
    <x v="479"/>
    <x v="349"/>
    <x v="1"/>
    <x v="4"/>
    <x v="9"/>
    <s v="Corporate"/>
    <x v="7"/>
    <s v="West"/>
    <s v="James Collins"/>
    <n v="2"/>
    <n v="35.590000000000003"/>
    <n v="0.1"/>
    <n v="64.06"/>
    <n v="-13.42"/>
  </r>
  <r>
    <x v="480"/>
    <x v="343"/>
    <x v="1"/>
    <x v="3"/>
    <x v="7"/>
    <s v="Small Business"/>
    <x v="9"/>
    <s v="South"/>
    <s v="Ava Bennett"/>
    <n v="9"/>
    <n v="80.680000000000007"/>
    <n v="0.1"/>
    <n v="653.51"/>
    <n v="124.48"/>
  </r>
  <r>
    <x v="481"/>
    <x v="350"/>
    <x v="2"/>
    <x v="6"/>
    <x v="4"/>
    <s v="Corporate"/>
    <x v="4"/>
    <s v="West"/>
    <s v="Noah Foster"/>
    <n v="5"/>
    <n v="531.53"/>
    <n v="0"/>
    <n v="2657.66"/>
    <n v="502.08"/>
  </r>
  <r>
    <x v="482"/>
    <x v="351"/>
    <x v="2"/>
    <x v="5"/>
    <x v="8"/>
    <s v="Small Business"/>
    <x v="4"/>
    <s v="West"/>
    <s v="Emma Carter"/>
    <n v="7"/>
    <n v="344.88"/>
    <n v="0.1"/>
    <n v="2172.7199999999998"/>
    <n v="419.53"/>
  </r>
  <r>
    <x v="483"/>
    <x v="350"/>
    <x v="0"/>
    <x v="7"/>
    <x v="14"/>
    <s v="Corporate"/>
    <x v="7"/>
    <s v="West"/>
    <s v="Ava Bennett"/>
    <n v="4"/>
    <n v="409.09"/>
    <n v="0.03"/>
    <n v="1587.28"/>
    <n v="334.48"/>
  </r>
  <r>
    <x v="484"/>
    <x v="352"/>
    <x v="0"/>
    <x v="1"/>
    <x v="2"/>
    <s v="Small Business"/>
    <x v="7"/>
    <s v="West"/>
    <s v="Sophia Reed"/>
    <n v="4"/>
    <n v="1520.97"/>
    <n v="7.0000000000000007E-2"/>
    <n v="5658.02"/>
    <n v="1012.36"/>
  </r>
  <r>
    <x v="485"/>
    <x v="353"/>
    <x v="1"/>
    <x v="3"/>
    <x v="18"/>
    <s v="Corporate"/>
    <x v="6"/>
    <s v="West"/>
    <s v="Noah Foster"/>
    <n v="3"/>
    <n v="88.8"/>
    <n v="0"/>
    <n v="266.41000000000003"/>
    <n v="21.39"/>
  </r>
  <r>
    <x v="486"/>
    <x v="347"/>
    <x v="0"/>
    <x v="0"/>
    <x v="0"/>
    <s v="Consumer"/>
    <x v="5"/>
    <s v="West"/>
    <s v="Liam Brooks"/>
    <n v="11"/>
    <n v="110.11"/>
    <n v="0.1"/>
    <n v="1090.0899999999999"/>
    <n v="302.24"/>
  </r>
  <r>
    <x v="487"/>
    <x v="354"/>
    <x v="0"/>
    <x v="7"/>
    <x v="12"/>
    <s v="Corporate"/>
    <x v="1"/>
    <s v="South"/>
    <s v="Liam Brooks"/>
    <n v="5"/>
    <n v="415.03"/>
    <n v="7.0000000000000007E-2"/>
    <n v="1929.88"/>
    <n v="432.9"/>
  </r>
  <r>
    <x v="488"/>
    <x v="354"/>
    <x v="1"/>
    <x v="3"/>
    <x v="3"/>
    <s v="Small Business"/>
    <x v="4"/>
    <s v="West"/>
    <s v="Liam Brooks"/>
    <n v="3"/>
    <n v="86.5"/>
    <n v="0.1"/>
    <n v="233.55"/>
    <n v="40.04"/>
  </r>
  <r>
    <x v="489"/>
    <x v="355"/>
    <x v="1"/>
    <x v="3"/>
    <x v="16"/>
    <s v="Corporate"/>
    <x v="0"/>
    <s v="Midwest"/>
    <s v="Emma Carter"/>
    <n v="11"/>
    <n v="90.13"/>
    <n v="0.1"/>
    <n v="892.31"/>
    <n v="123.74"/>
  </r>
  <r>
    <x v="490"/>
    <x v="356"/>
    <x v="2"/>
    <x v="5"/>
    <x v="11"/>
    <s v="Consumer"/>
    <x v="3"/>
    <s v="South"/>
    <s v="Ava Bennett"/>
    <n v="2"/>
    <n v="307.69"/>
    <n v="7.0000000000000007E-2"/>
    <n v="572.29999999999995"/>
    <n v="74.78"/>
  </r>
  <r>
    <x v="491"/>
    <x v="357"/>
    <x v="0"/>
    <x v="1"/>
    <x v="10"/>
    <s v="Small Business"/>
    <x v="4"/>
    <s v="West"/>
    <s v="Noah Foster"/>
    <n v="7"/>
    <n v="1492.6"/>
    <n v="0"/>
    <n v="10448.219999999999"/>
    <n v="1723.37"/>
  </r>
  <r>
    <x v="492"/>
    <x v="358"/>
    <x v="1"/>
    <x v="2"/>
    <x v="13"/>
    <s v="Corporate"/>
    <x v="4"/>
    <s v="West"/>
    <s v="James Collins"/>
    <n v="10"/>
    <n v="54.7"/>
    <n v="0"/>
    <n v="547.01"/>
    <n v="54.67"/>
  </r>
  <r>
    <x v="493"/>
    <x v="358"/>
    <x v="0"/>
    <x v="7"/>
    <x v="7"/>
    <s v="Corporate"/>
    <x v="7"/>
    <s v="West"/>
    <s v="James Collins"/>
    <n v="7"/>
    <n v="413.31"/>
    <n v="0.1"/>
    <n v="2603.85"/>
    <n v="515.28"/>
  </r>
  <r>
    <x v="494"/>
    <x v="359"/>
    <x v="1"/>
    <x v="2"/>
    <x v="7"/>
    <s v="Small Business"/>
    <x v="9"/>
    <s v="South"/>
    <s v="Sophia Reed"/>
    <n v="12"/>
    <n v="49.05"/>
    <n v="0"/>
    <n v="588.63"/>
    <n v="64.66"/>
  </r>
  <r>
    <x v="495"/>
    <x v="360"/>
    <x v="2"/>
    <x v="5"/>
    <x v="10"/>
    <s v="Consumer"/>
    <x v="2"/>
    <s v="Northeast"/>
    <s v="James Collins"/>
    <n v="3"/>
    <n v="374.38"/>
    <n v="0"/>
    <n v="1123.1500000000001"/>
    <n v="201.01"/>
  </r>
  <r>
    <x v="496"/>
    <x v="361"/>
    <x v="1"/>
    <x v="2"/>
    <x v="12"/>
    <s v="Consumer"/>
    <x v="4"/>
    <s v="West"/>
    <s v="Emma Carter"/>
    <n v="7"/>
    <n v="50.66"/>
    <n v="0"/>
    <n v="354.61"/>
    <n v="17.489999999999998"/>
  </r>
  <r>
    <x v="497"/>
    <x v="362"/>
    <x v="1"/>
    <x v="4"/>
    <x v="13"/>
    <s v="Corporate"/>
    <x v="6"/>
    <s v="West"/>
    <s v="Liam Brooks"/>
    <n v="5"/>
    <n v="28.86"/>
    <n v="0"/>
    <n v="144.32"/>
    <n v="-9.0500000000000007"/>
  </r>
  <r>
    <x v="498"/>
    <x v="363"/>
    <x v="2"/>
    <x v="6"/>
    <x v="0"/>
    <s v="Consumer"/>
    <x v="9"/>
    <s v="South"/>
    <s v="Liam Brooks"/>
    <n v="4"/>
    <n v="484.31"/>
    <n v="0.03"/>
    <n v="1879.11"/>
    <n v="255.79"/>
  </r>
  <r>
    <x v="499"/>
    <x v="356"/>
    <x v="2"/>
    <x v="6"/>
    <x v="16"/>
    <s v="Corporate"/>
    <x v="6"/>
    <s v="West"/>
    <s v="Noah Foster"/>
    <n v="8"/>
    <n v="465.44"/>
    <n v="0"/>
    <n v="3723.48"/>
    <n v="743.52"/>
  </r>
  <r>
    <x v="500"/>
    <x v="364"/>
    <x v="1"/>
    <x v="4"/>
    <x v="17"/>
    <s v="Corporate"/>
    <x v="1"/>
    <s v="South"/>
    <s v="Emma Carter"/>
    <n v="7"/>
    <n v="34.93"/>
    <n v="0.05"/>
    <n v="232.3"/>
    <n v="18.48"/>
  </r>
  <r>
    <x v="501"/>
    <x v="365"/>
    <x v="1"/>
    <x v="2"/>
    <x v="8"/>
    <s v="Corporate"/>
    <x v="7"/>
    <s v="West"/>
    <s v="Ava Bennett"/>
    <n v="14"/>
    <n v="56.21"/>
    <n v="0.05"/>
    <n v="747.6"/>
    <n v="83.73"/>
  </r>
  <r>
    <x v="502"/>
    <x v="359"/>
    <x v="2"/>
    <x v="6"/>
    <x v="1"/>
    <s v="Corporate"/>
    <x v="5"/>
    <s v="West"/>
    <s v="Noah Foster"/>
    <n v="8"/>
    <n v="606.52"/>
    <n v="0"/>
    <n v="4852.1899999999996"/>
    <n v="1251.98"/>
  </r>
  <r>
    <x v="503"/>
    <x v="366"/>
    <x v="1"/>
    <x v="3"/>
    <x v="12"/>
    <s v="Small Business"/>
    <x v="5"/>
    <s v="West"/>
    <s v="Ava Bennett"/>
    <n v="3"/>
    <n v="96.85"/>
    <n v="0.05"/>
    <n v="276.02999999999997"/>
    <n v="31.59"/>
  </r>
  <r>
    <x v="504"/>
    <x v="367"/>
    <x v="0"/>
    <x v="7"/>
    <x v="18"/>
    <s v="Corporate"/>
    <x v="0"/>
    <s v="Midwest"/>
    <s v="James Collins"/>
    <n v="3"/>
    <n v="402"/>
    <n v="0.1"/>
    <n v="1085.4100000000001"/>
    <n v="131.38999999999999"/>
  </r>
  <r>
    <x v="505"/>
    <x v="368"/>
    <x v="0"/>
    <x v="0"/>
    <x v="7"/>
    <s v="Small Business"/>
    <x v="4"/>
    <s v="West"/>
    <s v="Noah Foster"/>
    <n v="12"/>
    <n v="101.33"/>
    <n v="0"/>
    <n v="1215.92"/>
    <n v="237.68"/>
  </r>
  <r>
    <x v="506"/>
    <x v="369"/>
    <x v="1"/>
    <x v="2"/>
    <x v="6"/>
    <s v="Consumer"/>
    <x v="0"/>
    <s v="Midwest"/>
    <s v="James Collins"/>
    <n v="7"/>
    <n v="55.1"/>
    <n v="0"/>
    <n v="385.67"/>
    <n v="4.13"/>
  </r>
  <r>
    <x v="507"/>
    <x v="370"/>
    <x v="1"/>
    <x v="2"/>
    <x v="8"/>
    <s v="Consumer"/>
    <x v="4"/>
    <s v="West"/>
    <s v="Ava Bennett"/>
    <n v="7"/>
    <n v="53.1"/>
    <n v="0.05"/>
    <n v="353.13"/>
    <n v="25.23"/>
  </r>
  <r>
    <x v="508"/>
    <x v="371"/>
    <x v="2"/>
    <x v="6"/>
    <x v="5"/>
    <s v="Corporate"/>
    <x v="2"/>
    <s v="Northeast"/>
    <s v="Liam Brooks"/>
    <n v="1"/>
    <n v="576.04"/>
    <n v="0.03"/>
    <n v="558.76"/>
    <n v="7.37"/>
  </r>
  <r>
    <x v="509"/>
    <x v="372"/>
    <x v="2"/>
    <x v="5"/>
    <x v="7"/>
    <s v="Corporate"/>
    <x v="8"/>
    <s v="South"/>
    <s v="Emma Carter"/>
    <n v="5"/>
    <n v="347.03"/>
    <n v="0.05"/>
    <n v="1648.39"/>
    <n v="369.08"/>
  </r>
  <r>
    <x v="510"/>
    <x v="373"/>
    <x v="2"/>
    <x v="8"/>
    <x v="17"/>
    <s v="Consumer"/>
    <x v="1"/>
    <s v="South"/>
    <s v="James Collins"/>
    <n v="8"/>
    <n v="632.41"/>
    <n v="0.05"/>
    <n v="4806.3"/>
    <n v="709.34"/>
  </r>
  <r>
    <x v="511"/>
    <x v="374"/>
    <x v="2"/>
    <x v="8"/>
    <x v="12"/>
    <s v="Corporate"/>
    <x v="9"/>
    <s v="South"/>
    <s v="Emma Carter"/>
    <n v="3"/>
    <n v="564.30999999999995"/>
    <n v="0.1"/>
    <n v="1523.63"/>
    <n v="249.92"/>
  </r>
  <r>
    <x v="512"/>
    <x v="375"/>
    <x v="2"/>
    <x v="6"/>
    <x v="10"/>
    <s v="Small Business"/>
    <x v="9"/>
    <s v="South"/>
    <s v="Emma Carter"/>
    <n v="1"/>
    <n v="463.96"/>
    <n v="0"/>
    <n v="463.96"/>
    <n v="37.19"/>
  </r>
  <r>
    <x v="513"/>
    <x v="371"/>
    <x v="2"/>
    <x v="6"/>
    <x v="14"/>
    <s v="Consumer"/>
    <x v="9"/>
    <s v="South"/>
    <s v="Liam Brooks"/>
    <n v="8"/>
    <n v="507.51"/>
    <n v="0.03"/>
    <n v="3938.29"/>
    <n v="1042.72"/>
  </r>
  <r>
    <x v="514"/>
    <x v="370"/>
    <x v="1"/>
    <x v="4"/>
    <x v="4"/>
    <s v="Small Business"/>
    <x v="7"/>
    <s v="West"/>
    <s v="Ava Bennett"/>
    <n v="4"/>
    <n v="34.26"/>
    <n v="0"/>
    <n v="137.03"/>
    <n v="-30.91"/>
  </r>
  <r>
    <x v="515"/>
    <x v="376"/>
    <x v="2"/>
    <x v="8"/>
    <x v="17"/>
    <s v="Consumer"/>
    <x v="4"/>
    <s v="West"/>
    <s v="Liam Brooks"/>
    <n v="1"/>
    <n v="590.33000000000004"/>
    <n v="0.1"/>
    <n v="531.29999999999995"/>
    <n v="46.01"/>
  </r>
  <r>
    <x v="516"/>
    <x v="377"/>
    <x v="1"/>
    <x v="3"/>
    <x v="10"/>
    <s v="Small Business"/>
    <x v="9"/>
    <s v="South"/>
    <s v="Ava Bennett"/>
    <n v="12"/>
    <n v="82.71"/>
    <n v="7.0000000000000007E-2"/>
    <n v="923.06"/>
    <n v="211.89"/>
  </r>
  <r>
    <x v="517"/>
    <x v="371"/>
    <x v="2"/>
    <x v="6"/>
    <x v="1"/>
    <s v="Consumer"/>
    <x v="6"/>
    <s v="West"/>
    <s v="James Collins"/>
    <n v="8"/>
    <n v="484.94"/>
    <n v="0"/>
    <n v="3879.55"/>
    <n v="993.89"/>
  </r>
  <r>
    <x v="518"/>
    <x v="378"/>
    <x v="0"/>
    <x v="1"/>
    <x v="19"/>
    <s v="Small Business"/>
    <x v="8"/>
    <s v="South"/>
    <s v="James Collins"/>
    <n v="2"/>
    <n v="1657.1"/>
    <n v="0"/>
    <n v="3314.2"/>
    <n v="562.6"/>
  </r>
  <r>
    <x v="519"/>
    <x v="371"/>
    <x v="0"/>
    <x v="7"/>
    <x v="12"/>
    <s v="Consumer"/>
    <x v="3"/>
    <s v="South"/>
    <s v="Liam Brooks"/>
    <n v="1"/>
    <n v="399.56"/>
    <n v="0.1"/>
    <n v="359.61"/>
    <n v="-42.03"/>
  </r>
  <r>
    <x v="520"/>
    <x v="379"/>
    <x v="1"/>
    <x v="3"/>
    <x v="6"/>
    <s v="Corporate"/>
    <x v="4"/>
    <s v="West"/>
    <s v="Emma Carter"/>
    <n v="12"/>
    <n v="88.04"/>
    <n v="0.1"/>
    <n v="950.82"/>
    <n v="152.32"/>
  </r>
  <r>
    <x v="521"/>
    <x v="370"/>
    <x v="0"/>
    <x v="7"/>
    <x v="11"/>
    <s v="Small Business"/>
    <x v="3"/>
    <s v="South"/>
    <s v="Emma Carter"/>
    <n v="3"/>
    <n v="390.92"/>
    <n v="0.1"/>
    <n v="1055.48"/>
    <n v="109.24"/>
  </r>
  <r>
    <x v="522"/>
    <x v="380"/>
    <x v="1"/>
    <x v="3"/>
    <x v="1"/>
    <s v="Small Business"/>
    <x v="5"/>
    <s v="West"/>
    <s v="Ava Bennett"/>
    <n v="12"/>
    <n v="111.97"/>
    <n v="0"/>
    <n v="1343.68"/>
    <n v="209.34"/>
  </r>
  <r>
    <x v="523"/>
    <x v="381"/>
    <x v="0"/>
    <x v="1"/>
    <x v="19"/>
    <s v="Small Business"/>
    <x v="0"/>
    <s v="Midwest"/>
    <s v="Noah Foster"/>
    <n v="3"/>
    <n v="1584.98"/>
    <n v="0.05"/>
    <n v="4517.2"/>
    <n v="670.15"/>
  </r>
  <r>
    <x v="524"/>
    <x v="382"/>
    <x v="2"/>
    <x v="8"/>
    <x v="13"/>
    <s v="Small Business"/>
    <x v="5"/>
    <s v="West"/>
    <s v="Emma Carter"/>
    <n v="8"/>
    <n v="810.72"/>
    <n v="0.03"/>
    <n v="6291.21"/>
    <n v="1128.1300000000001"/>
  </r>
  <r>
    <x v="525"/>
    <x v="383"/>
    <x v="2"/>
    <x v="8"/>
    <x v="9"/>
    <s v="Small Business"/>
    <x v="2"/>
    <s v="Northeast"/>
    <s v="Emma Carter"/>
    <n v="4"/>
    <n v="786.99"/>
    <n v="0.05"/>
    <n v="2990.55"/>
    <n v="497.79"/>
  </r>
  <r>
    <x v="526"/>
    <x v="383"/>
    <x v="0"/>
    <x v="1"/>
    <x v="11"/>
    <s v="Consumer"/>
    <x v="3"/>
    <s v="South"/>
    <s v="Ava Bennett"/>
    <n v="5"/>
    <n v="1580.6"/>
    <n v="0"/>
    <n v="7903"/>
    <n v="1617.43"/>
  </r>
  <r>
    <x v="527"/>
    <x v="384"/>
    <x v="2"/>
    <x v="5"/>
    <x v="3"/>
    <s v="Small Business"/>
    <x v="1"/>
    <s v="South"/>
    <s v="Noah Foster"/>
    <n v="2"/>
    <n v="349.28"/>
    <n v="0"/>
    <n v="698.55"/>
    <n v="89.56"/>
  </r>
  <r>
    <x v="528"/>
    <x v="382"/>
    <x v="1"/>
    <x v="4"/>
    <x v="9"/>
    <s v="Consumer"/>
    <x v="5"/>
    <s v="West"/>
    <s v="James Collins"/>
    <n v="11"/>
    <n v="38.74"/>
    <n v="0.03"/>
    <n v="413.36"/>
    <n v="65.28"/>
  </r>
  <r>
    <x v="529"/>
    <x v="385"/>
    <x v="0"/>
    <x v="7"/>
    <x v="12"/>
    <s v="Small Business"/>
    <x v="0"/>
    <s v="Midwest"/>
    <s v="Noah Foster"/>
    <n v="2"/>
    <n v="413.46"/>
    <n v="0"/>
    <n v="826.92"/>
    <n v="142.46"/>
  </r>
  <r>
    <x v="530"/>
    <x v="386"/>
    <x v="2"/>
    <x v="6"/>
    <x v="17"/>
    <s v="Consumer"/>
    <x v="8"/>
    <s v="South"/>
    <s v="Sophia Reed"/>
    <n v="6"/>
    <n v="564.61"/>
    <n v="0.1"/>
    <n v="3048.89"/>
    <n v="708.89"/>
  </r>
  <r>
    <x v="531"/>
    <x v="387"/>
    <x v="0"/>
    <x v="7"/>
    <x v="6"/>
    <s v="Consumer"/>
    <x v="9"/>
    <s v="South"/>
    <s v="Noah Foster"/>
    <n v="1"/>
    <n v="388.82"/>
    <n v="0.05"/>
    <n v="369.38"/>
    <n v="65.72"/>
  </r>
  <r>
    <x v="532"/>
    <x v="388"/>
    <x v="0"/>
    <x v="1"/>
    <x v="8"/>
    <s v="Corporate"/>
    <x v="7"/>
    <s v="West"/>
    <s v="James Collins"/>
    <n v="8"/>
    <n v="1690.54"/>
    <n v="0.03"/>
    <n v="13118.56"/>
    <n v="2181.19"/>
  </r>
  <r>
    <x v="533"/>
    <x v="389"/>
    <x v="0"/>
    <x v="7"/>
    <x v="7"/>
    <s v="Corporate"/>
    <x v="9"/>
    <s v="South"/>
    <s v="James Collins"/>
    <n v="8"/>
    <n v="386.96"/>
    <n v="0.03"/>
    <n v="3002.8"/>
    <n v="618.80999999999995"/>
  </r>
  <r>
    <x v="534"/>
    <x v="390"/>
    <x v="1"/>
    <x v="2"/>
    <x v="7"/>
    <s v="Consumer"/>
    <x v="1"/>
    <s v="South"/>
    <s v="Sophia Reed"/>
    <n v="13"/>
    <n v="57.33"/>
    <n v="0.1"/>
    <n v="670.74"/>
    <n v="109.34"/>
  </r>
  <r>
    <x v="535"/>
    <x v="391"/>
    <x v="1"/>
    <x v="4"/>
    <x v="4"/>
    <s v="Small Business"/>
    <x v="5"/>
    <s v="West"/>
    <s v="Emma Carter"/>
    <n v="13"/>
    <n v="41.36"/>
    <n v="0"/>
    <n v="537.72"/>
    <n v="66.89"/>
  </r>
  <r>
    <x v="536"/>
    <x v="387"/>
    <x v="0"/>
    <x v="0"/>
    <x v="8"/>
    <s v="Consumer"/>
    <x v="8"/>
    <s v="South"/>
    <s v="Emma Carter"/>
    <n v="12"/>
    <n v="116.16"/>
    <n v="0"/>
    <n v="1393.97"/>
    <n v="375.58"/>
  </r>
  <r>
    <x v="537"/>
    <x v="391"/>
    <x v="2"/>
    <x v="8"/>
    <x v="18"/>
    <s v="Corporate"/>
    <x v="1"/>
    <s v="South"/>
    <s v="Ava Bennett"/>
    <n v="3"/>
    <n v="716.69"/>
    <n v="0.05"/>
    <n v="2042.57"/>
    <n v="290.01"/>
  </r>
  <r>
    <x v="538"/>
    <x v="391"/>
    <x v="1"/>
    <x v="4"/>
    <x v="6"/>
    <s v="Consumer"/>
    <x v="9"/>
    <s v="South"/>
    <s v="James Collins"/>
    <n v="9"/>
    <n v="32.22"/>
    <n v="0.1"/>
    <n v="261"/>
    <n v="-15.56"/>
  </r>
  <r>
    <x v="539"/>
    <x v="385"/>
    <x v="1"/>
    <x v="2"/>
    <x v="18"/>
    <s v="Small Business"/>
    <x v="9"/>
    <s v="South"/>
    <s v="Sophia Reed"/>
    <n v="5"/>
    <n v="56.66"/>
    <n v="0"/>
    <n v="283.32"/>
    <n v="11.56"/>
  </r>
  <r>
    <x v="540"/>
    <x v="392"/>
    <x v="0"/>
    <x v="0"/>
    <x v="8"/>
    <s v="Small Business"/>
    <x v="9"/>
    <s v="South"/>
    <s v="Noah Foster"/>
    <n v="3"/>
    <n v="96.64"/>
    <n v="0"/>
    <n v="289.93"/>
    <n v="-30.34"/>
  </r>
  <r>
    <x v="541"/>
    <x v="393"/>
    <x v="2"/>
    <x v="5"/>
    <x v="12"/>
    <s v="Small Business"/>
    <x v="6"/>
    <s v="West"/>
    <s v="Noah Foster"/>
    <n v="8"/>
    <n v="325.42"/>
    <n v="0.1"/>
    <n v="2343"/>
    <n v="594.15"/>
  </r>
  <r>
    <x v="542"/>
    <x v="394"/>
    <x v="1"/>
    <x v="4"/>
    <x v="4"/>
    <s v="Consumer"/>
    <x v="3"/>
    <s v="South"/>
    <s v="Emma Carter"/>
    <n v="18"/>
    <n v="33.049999999999997"/>
    <n v="0"/>
    <n v="594.89"/>
    <n v="121.76"/>
  </r>
  <r>
    <x v="543"/>
    <x v="395"/>
    <x v="0"/>
    <x v="1"/>
    <x v="16"/>
    <s v="Corporate"/>
    <x v="4"/>
    <s v="West"/>
    <s v="Sophia Reed"/>
    <n v="1"/>
    <n v="1499.79"/>
    <n v="0.1"/>
    <n v="1349.81"/>
    <n v="163.77000000000001"/>
  </r>
  <r>
    <x v="544"/>
    <x v="396"/>
    <x v="1"/>
    <x v="4"/>
    <x v="12"/>
    <s v="Corporate"/>
    <x v="7"/>
    <s v="West"/>
    <s v="James Collins"/>
    <n v="7"/>
    <n v="36.47"/>
    <n v="0"/>
    <n v="255.32"/>
    <n v="-1.1100000000000001"/>
  </r>
  <r>
    <x v="545"/>
    <x v="397"/>
    <x v="1"/>
    <x v="2"/>
    <x v="7"/>
    <s v="Corporate"/>
    <x v="0"/>
    <s v="Midwest"/>
    <s v="Emma Carter"/>
    <n v="4"/>
    <n v="56.64"/>
    <n v="0"/>
    <n v="226.54"/>
    <n v="7.56"/>
  </r>
  <r>
    <x v="546"/>
    <x v="398"/>
    <x v="0"/>
    <x v="1"/>
    <x v="2"/>
    <s v="Small Business"/>
    <x v="2"/>
    <s v="Northeast"/>
    <s v="James Collins"/>
    <n v="7"/>
    <n v="1787.35"/>
    <n v="0.05"/>
    <n v="11885.85"/>
    <n v="2120.4699999999998"/>
  </r>
  <r>
    <x v="547"/>
    <x v="397"/>
    <x v="1"/>
    <x v="4"/>
    <x v="5"/>
    <s v="Small Business"/>
    <x v="1"/>
    <s v="South"/>
    <s v="Ava Bennett"/>
    <n v="2"/>
    <n v="35.950000000000003"/>
    <n v="0.1"/>
    <n v="64.709999999999994"/>
    <n v="-24"/>
  </r>
  <r>
    <x v="548"/>
    <x v="399"/>
    <x v="2"/>
    <x v="6"/>
    <x v="3"/>
    <s v="Corporate"/>
    <x v="3"/>
    <s v="South"/>
    <s v="Ava Bennett"/>
    <n v="8"/>
    <n v="528.98"/>
    <n v="0"/>
    <n v="4231.84"/>
    <n v="889.45"/>
  </r>
  <r>
    <x v="549"/>
    <x v="393"/>
    <x v="0"/>
    <x v="0"/>
    <x v="13"/>
    <s v="Small Business"/>
    <x v="4"/>
    <s v="West"/>
    <s v="Ava Bennett"/>
    <n v="4"/>
    <n v="106.21"/>
    <n v="7.0000000000000007E-2"/>
    <n v="395.12"/>
    <n v="26.54"/>
  </r>
  <r>
    <x v="550"/>
    <x v="400"/>
    <x v="2"/>
    <x v="5"/>
    <x v="14"/>
    <s v="Small Business"/>
    <x v="4"/>
    <s v="West"/>
    <s v="Ava Bennett"/>
    <n v="1"/>
    <n v="381.41"/>
    <n v="7.0000000000000007E-2"/>
    <n v="354.72"/>
    <n v="16.88"/>
  </r>
  <r>
    <x v="551"/>
    <x v="401"/>
    <x v="1"/>
    <x v="3"/>
    <x v="2"/>
    <s v="Small Business"/>
    <x v="3"/>
    <s v="South"/>
    <s v="Sophia Reed"/>
    <n v="11"/>
    <n v="85.58"/>
    <n v="0.1"/>
    <n v="847.25"/>
    <n v="166.93"/>
  </r>
  <r>
    <x v="552"/>
    <x v="402"/>
    <x v="1"/>
    <x v="2"/>
    <x v="14"/>
    <s v="Corporate"/>
    <x v="6"/>
    <s v="West"/>
    <s v="Ava Bennett"/>
    <n v="3"/>
    <n v="53.86"/>
    <n v="0.03"/>
    <n v="156.74"/>
    <n v="-11"/>
  </r>
  <r>
    <x v="553"/>
    <x v="403"/>
    <x v="1"/>
    <x v="2"/>
    <x v="1"/>
    <s v="Corporate"/>
    <x v="2"/>
    <s v="Northeast"/>
    <s v="Sophia Reed"/>
    <n v="10"/>
    <n v="60.04"/>
    <n v="0.03"/>
    <n v="582.4"/>
    <n v="61.47"/>
  </r>
  <r>
    <x v="554"/>
    <x v="404"/>
    <x v="2"/>
    <x v="5"/>
    <x v="7"/>
    <s v="Consumer"/>
    <x v="9"/>
    <s v="South"/>
    <s v="Noah Foster"/>
    <n v="6"/>
    <n v="357.98"/>
    <n v="0.03"/>
    <n v="2083.42"/>
    <n v="511.25"/>
  </r>
  <r>
    <x v="555"/>
    <x v="398"/>
    <x v="2"/>
    <x v="5"/>
    <x v="4"/>
    <s v="Corporate"/>
    <x v="3"/>
    <s v="South"/>
    <s v="Ava Bennett"/>
    <n v="3"/>
    <n v="363.14"/>
    <n v="0.05"/>
    <n v="1034.94"/>
    <n v="226.38"/>
  </r>
  <r>
    <x v="556"/>
    <x v="404"/>
    <x v="2"/>
    <x v="6"/>
    <x v="17"/>
    <s v="Consumer"/>
    <x v="2"/>
    <s v="Northeast"/>
    <s v="James Collins"/>
    <n v="6"/>
    <n v="567.16999999999996"/>
    <n v="0.03"/>
    <n v="3300.95"/>
    <n v="813.28"/>
  </r>
  <r>
    <x v="557"/>
    <x v="400"/>
    <x v="1"/>
    <x v="4"/>
    <x v="10"/>
    <s v="Small Business"/>
    <x v="6"/>
    <s v="West"/>
    <s v="James Collins"/>
    <n v="9"/>
    <n v="32.26"/>
    <n v="0.1"/>
    <n v="261.27999999999997"/>
    <n v="25.23"/>
  </r>
  <r>
    <x v="558"/>
    <x v="405"/>
    <x v="0"/>
    <x v="7"/>
    <x v="8"/>
    <s v="Consumer"/>
    <x v="6"/>
    <s v="West"/>
    <s v="Sophia Reed"/>
    <n v="1"/>
    <n v="403.45"/>
    <n v="7.0000000000000007E-2"/>
    <n v="375.21"/>
    <n v="-45.9"/>
  </r>
  <r>
    <x v="559"/>
    <x v="406"/>
    <x v="2"/>
    <x v="6"/>
    <x v="6"/>
    <s v="Small Business"/>
    <x v="0"/>
    <s v="Midwest"/>
    <s v="Sophia Reed"/>
    <n v="2"/>
    <n v="549.55999999999995"/>
    <n v="7.0000000000000007E-2"/>
    <n v="1022.17"/>
    <n v="116.28"/>
  </r>
  <r>
    <x v="560"/>
    <x v="407"/>
    <x v="2"/>
    <x v="6"/>
    <x v="17"/>
    <s v="Consumer"/>
    <x v="9"/>
    <s v="South"/>
    <s v="Sophia Reed"/>
    <n v="3"/>
    <n v="531.96"/>
    <n v="0"/>
    <n v="1595.87"/>
    <n v="279.2"/>
  </r>
  <r>
    <x v="561"/>
    <x v="408"/>
    <x v="1"/>
    <x v="2"/>
    <x v="9"/>
    <s v="Consumer"/>
    <x v="4"/>
    <s v="West"/>
    <s v="Noah Foster"/>
    <n v="13"/>
    <n v="57.79"/>
    <n v="0.03"/>
    <n v="728.7"/>
    <n v="92.26"/>
  </r>
  <r>
    <x v="562"/>
    <x v="409"/>
    <x v="0"/>
    <x v="0"/>
    <x v="18"/>
    <s v="Consumer"/>
    <x v="1"/>
    <s v="South"/>
    <s v="Emma Carter"/>
    <n v="5"/>
    <n v="109.18"/>
    <n v="7.0000000000000007E-2"/>
    <n v="507.68"/>
    <n v="37.450000000000003"/>
  </r>
  <r>
    <x v="563"/>
    <x v="410"/>
    <x v="0"/>
    <x v="1"/>
    <x v="13"/>
    <s v="Small Business"/>
    <x v="2"/>
    <s v="Northeast"/>
    <s v="Noah Foster"/>
    <n v="2"/>
    <n v="1921.39"/>
    <n v="0.03"/>
    <n v="3727.5"/>
    <n v="675.35"/>
  </r>
  <r>
    <x v="564"/>
    <x v="411"/>
    <x v="1"/>
    <x v="2"/>
    <x v="13"/>
    <s v="Corporate"/>
    <x v="8"/>
    <s v="South"/>
    <s v="Noah Foster"/>
    <n v="14"/>
    <n v="62.8"/>
    <n v="0"/>
    <n v="879.22"/>
    <n v="75.3"/>
  </r>
  <r>
    <x v="565"/>
    <x v="412"/>
    <x v="1"/>
    <x v="2"/>
    <x v="17"/>
    <s v="Consumer"/>
    <x v="6"/>
    <s v="West"/>
    <s v="Noah Foster"/>
    <n v="7"/>
    <n v="57.69"/>
    <n v="0"/>
    <n v="403.86"/>
    <n v="5.26"/>
  </r>
  <r>
    <x v="566"/>
    <x v="413"/>
    <x v="2"/>
    <x v="6"/>
    <x v="15"/>
    <s v="Consumer"/>
    <x v="8"/>
    <s v="South"/>
    <s v="Sophia Reed"/>
    <n v="2"/>
    <n v="574.74"/>
    <n v="0"/>
    <n v="1149.49"/>
    <n v="223.69"/>
  </r>
  <r>
    <x v="567"/>
    <x v="407"/>
    <x v="0"/>
    <x v="7"/>
    <x v="19"/>
    <s v="Corporate"/>
    <x v="2"/>
    <s v="Northeast"/>
    <s v="James Collins"/>
    <n v="7"/>
    <n v="496.15"/>
    <n v="0.1"/>
    <n v="3125.77"/>
    <n v="585.41999999999996"/>
  </r>
  <r>
    <x v="568"/>
    <x v="414"/>
    <x v="2"/>
    <x v="6"/>
    <x v="11"/>
    <s v="Small Business"/>
    <x v="6"/>
    <s v="West"/>
    <s v="Noah Foster"/>
    <n v="2"/>
    <n v="543.41"/>
    <n v="0"/>
    <n v="1086.82"/>
    <n v="139.83000000000001"/>
  </r>
  <r>
    <x v="569"/>
    <x v="415"/>
    <x v="0"/>
    <x v="0"/>
    <x v="16"/>
    <s v="Small Business"/>
    <x v="4"/>
    <s v="West"/>
    <s v="James Collins"/>
    <n v="11"/>
    <n v="112.01"/>
    <n v="0.1"/>
    <n v="1108.8599999999999"/>
    <n v="288.39"/>
  </r>
  <r>
    <x v="570"/>
    <x v="416"/>
    <x v="2"/>
    <x v="8"/>
    <x v="15"/>
    <s v="Small Business"/>
    <x v="8"/>
    <s v="South"/>
    <s v="James Collins"/>
    <n v="4"/>
    <n v="709.64"/>
    <n v="0"/>
    <n v="2838.55"/>
    <n v="600.35"/>
  </r>
  <r>
    <x v="571"/>
    <x v="409"/>
    <x v="2"/>
    <x v="8"/>
    <x v="16"/>
    <s v="Small Business"/>
    <x v="8"/>
    <s v="South"/>
    <s v="Emma Carter"/>
    <n v="8"/>
    <n v="767.17"/>
    <n v="0"/>
    <n v="6137.39"/>
    <n v="973.78"/>
  </r>
  <r>
    <x v="572"/>
    <x v="410"/>
    <x v="0"/>
    <x v="7"/>
    <x v="4"/>
    <s v="Consumer"/>
    <x v="7"/>
    <s v="West"/>
    <s v="James Collins"/>
    <n v="5"/>
    <n v="476.75"/>
    <n v="0.05"/>
    <n v="2264.5700000000002"/>
    <n v="577.73"/>
  </r>
  <r>
    <x v="573"/>
    <x v="408"/>
    <x v="0"/>
    <x v="7"/>
    <x v="8"/>
    <s v="Corporate"/>
    <x v="5"/>
    <s v="West"/>
    <s v="Liam Brooks"/>
    <n v="8"/>
    <n v="563.12"/>
    <n v="7.0000000000000007E-2"/>
    <n v="4189.6400000000003"/>
    <n v="718.68"/>
  </r>
  <r>
    <x v="574"/>
    <x v="417"/>
    <x v="0"/>
    <x v="0"/>
    <x v="11"/>
    <s v="Consumer"/>
    <x v="2"/>
    <s v="Northeast"/>
    <s v="Emma Carter"/>
    <n v="17"/>
    <n v="135.41999999999999"/>
    <n v="7.0000000000000007E-2"/>
    <n v="2141.0500000000002"/>
    <n v="459.85"/>
  </r>
  <r>
    <x v="575"/>
    <x v="414"/>
    <x v="0"/>
    <x v="1"/>
    <x v="10"/>
    <s v="Corporate"/>
    <x v="5"/>
    <s v="West"/>
    <s v="Noah Foster"/>
    <n v="3"/>
    <n v="2041.98"/>
    <n v="0"/>
    <n v="6125.94"/>
    <n v="1271.29"/>
  </r>
  <r>
    <x v="576"/>
    <x v="409"/>
    <x v="2"/>
    <x v="6"/>
    <x v="4"/>
    <s v="Corporate"/>
    <x v="1"/>
    <s v="South"/>
    <s v="Noah Foster"/>
    <n v="6"/>
    <n v="611.21"/>
    <n v="0.1"/>
    <n v="3300.54"/>
    <n v="766.33"/>
  </r>
  <r>
    <x v="577"/>
    <x v="418"/>
    <x v="1"/>
    <x v="2"/>
    <x v="14"/>
    <s v="Corporate"/>
    <x v="5"/>
    <s v="West"/>
    <s v="Sophia Reed"/>
    <n v="4"/>
    <n v="68.81"/>
    <n v="0"/>
    <n v="275.24"/>
    <n v="33.39"/>
  </r>
  <r>
    <x v="578"/>
    <x v="419"/>
    <x v="2"/>
    <x v="5"/>
    <x v="0"/>
    <s v="Consumer"/>
    <x v="6"/>
    <s v="West"/>
    <s v="Emma Carter"/>
    <n v="3"/>
    <n v="355.92"/>
    <n v="0.1"/>
    <n v="960.98"/>
    <n v="130.72999999999999"/>
  </r>
  <r>
    <x v="579"/>
    <x v="420"/>
    <x v="1"/>
    <x v="2"/>
    <x v="19"/>
    <s v="Corporate"/>
    <x v="5"/>
    <s v="West"/>
    <s v="Emma Carter"/>
    <n v="11"/>
    <n v="71.78"/>
    <n v="0.05"/>
    <n v="750.14"/>
    <n v="116.45"/>
  </r>
  <r>
    <x v="580"/>
    <x v="420"/>
    <x v="1"/>
    <x v="3"/>
    <x v="2"/>
    <s v="Corporate"/>
    <x v="6"/>
    <s v="West"/>
    <s v="Liam Brooks"/>
    <n v="3"/>
    <n v="98.75"/>
    <n v="0.1"/>
    <n v="266.63"/>
    <n v="-0.19"/>
  </r>
  <r>
    <x v="581"/>
    <x v="421"/>
    <x v="1"/>
    <x v="4"/>
    <x v="19"/>
    <s v="Consumer"/>
    <x v="7"/>
    <s v="West"/>
    <s v="Liam Brooks"/>
    <n v="8"/>
    <n v="38.44"/>
    <n v="7.0000000000000007E-2"/>
    <n v="286.01"/>
    <n v="27.1"/>
  </r>
  <r>
    <x v="582"/>
    <x v="422"/>
    <x v="2"/>
    <x v="5"/>
    <x v="17"/>
    <s v="Small Business"/>
    <x v="6"/>
    <s v="West"/>
    <s v="Emma Carter"/>
    <n v="4"/>
    <n v="356.58"/>
    <n v="0"/>
    <n v="1426.33"/>
    <n v="236.84"/>
  </r>
  <r>
    <x v="583"/>
    <x v="423"/>
    <x v="1"/>
    <x v="2"/>
    <x v="3"/>
    <s v="Corporate"/>
    <x v="2"/>
    <s v="Northeast"/>
    <s v="James Collins"/>
    <n v="13"/>
    <n v="68.069999999999993"/>
    <n v="0.05"/>
    <n v="840.72"/>
    <n v="79.069999999999993"/>
  </r>
  <r>
    <x v="584"/>
    <x v="423"/>
    <x v="0"/>
    <x v="1"/>
    <x v="12"/>
    <s v="Corporate"/>
    <x v="5"/>
    <s v="West"/>
    <s v="Liam Brooks"/>
    <n v="1"/>
    <n v="2013.24"/>
    <n v="0"/>
    <n v="2013.24"/>
    <n v="242.63"/>
  </r>
  <r>
    <x v="585"/>
    <x v="424"/>
    <x v="2"/>
    <x v="6"/>
    <x v="2"/>
    <s v="Corporate"/>
    <x v="3"/>
    <s v="South"/>
    <s v="James Collins"/>
    <n v="6"/>
    <n v="549.14"/>
    <n v="0"/>
    <n v="3294.84"/>
    <n v="686.45"/>
  </r>
  <r>
    <x v="586"/>
    <x v="423"/>
    <x v="0"/>
    <x v="7"/>
    <x v="4"/>
    <s v="Small Business"/>
    <x v="1"/>
    <s v="South"/>
    <s v="Ava Bennett"/>
    <n v="8"/>
    <n v="449.39"/>
    <n v="0.05"/>
    <n v="3415.4"/>
    <n v="527.62"/>
  </r>
  <r>
    <x v="587"/>
    <x v="425"/>
    <x v="0"/>
    <x v="7"/>
    <x v="7"/>
    <s v="Small Business"/>
    <x v="3"/>
    <s v="South"/>
    <s v="James Collins"/>
    <n v="4"/>
    <n v="459.34"/>
    <n v="0.03"/>
    <n v="1782.22"/>
    <n v="313.60000000000002"/>
  </r>
  <r>
    <x v="588"/>
    <x v="426"/>
    <x v="0"/>
    <x v="7"/>
    <x v="9"/>
    <s v="Small Business"/>
    <x v="2"/>
    <s v="Northeast"/>
    <s v="Noah Foster"/>
    <n v="7"/>
    <n v="505.98"/>
    <n v="0.03"/>
    <n v="3435.57"/>
    <n v="627.44000000000005"/>
  </r>
  <r>
    <x v="589"/>
    <x v="425"/>
    <x v="2"/>
    <x v="6"/>
    <x v="14"/>
    <s v="Consumer"/>
    <x v="2"/>
    <s v="Northeast"/>
    <s v="Liam Brooks"/>
    <n v="2"/>
    <n v="662.26"/>
    <n v="7.0000000000000007E-2"/>
    <n v="1231.8"/>
    <n v="148.78"/>
  </r>
  <r>
    <x v="590"/>
    <x v="425"/>
    <x v="1"/>
    <x v="4"/>
    <x v="19"/>
    <s v="Consumer"/>
    <x v="0"/>
    <s v="Midwest"/>
    <s v="Noah Foster"/>
    <n v="9"/>
    <n v="36.96"/>
    <n v="0.05"/>
    <n v="315.99"/>
    <n v="9.2899999999999991"/>
  </r>
  <r>
    <x v="591"/>
    <x v="422"/>
    <x v="0"/>
    <x v="0"/>
    <x v="2"/>
    <s v="Corporate"/>
    <x v="5"/>
    <s v="West"/>
    <s v="Emma Carter"/>
    <n v="17"/>
    <n v="141.62"/>
    <n v="7.0000000000000007E-2"/>
    <n v="2239.08"/>
    <n v="502.86"/>
  </r>
  <r>
    <x v="592"/>
    <x v="427"/>
    <x v="2"/>
    <x v="5"/>
    <x v="11"/>
    <s v="Corporate"/>
    <x v="6"/>
    <s v="West"/>
    <s v="Emma Carter"/>
    <n v="1"/>
    <n v="386.9"/>
    <n v="0.05"/>
    <n v="367.56"/>
    <n v="64.67"/>
  </r>
  <r>
    <x v="593"/>
    <x v="419"/>
    <x v="0"/>
    <x v="0"/>
    <x v="19"/>
    <s v="Small Business"/>
    <x v="8"/>
    <s v="South"/>
    <s v="James Collins"/>
    <n v="11"/>
    <n v="119.67"/>
    <n v="0.05"/>
    <n v="1250.58"/>
    <n v="310.77"/>
  </r>
  <r>
    <x v="594"/>
    <x v="428"/>
    <x v="1"/>
    <x v="2"/>
    <x v="5"/>
    <s v="Small Business"/>
    <x v="7"/>
    <s v="West"/>
    <s v="James Collins"/>
    <n v="16"/>
    <n v="53.32"/>
    <n v="0"/>
    <n v="853.17"/>
    <n v="154.91"/>
  </r>
  <r>
    <x v="595"/>
    <x v="429"/>
    <x v="2"/>
    <x v="5"/>
    <x v="2"/>
    <s v="Small Business"/>
    <x v="0"/>
    <s v="Midwest"/>
    <s v="James Collins"/>
    <n v="4"/>
    <n v="327.85"/>
    <n v="0"/>
    <n v="1311.4"/>
    <n v="271.89999999999998"/>
  </r>
  <r>
    <x v="596"/>
    <x v="430"/>
    <x v="2"/>
    <x v="6"/>
    <x v="3"/>
    <s v="Corporate"/>
    <x v="3"/>
    <s v="South"/>
    <s v="Noah Foster"/>
    <n v="6"/>
    <n v="451.28"/>
    <n v="0"/>
    <n v="2707.67"/>
    <n v="558.39"/>
  </r>
  <r>
    <x v="597"/>
    <x v="431"/>
    <x v="2"/>
    <x v="5"/>
    <x v="17"/>
    <s v="Corporate"/>
    <x v="4"/>
    <s v="West"/>
    <s v="Sophia Reed"/>
    <n v="4"/>
    <n v="320.18"/>
    <n v="0.1"/>
    <n v="1152.6500000000001"/>
    <n v="147.16999999999999"/>
  </r>
  <r>
    <x v="598"/>
    <x v="432"/>
    <x v="2"/>
    <x v="5"/>
    <x v="6"/>
    <s v="Small Business"/>
    <x v="1"/>
    <s v="South"/>
    <s v="Sophia Reed"/>
    <n v="7"/>
    <n v="314.7"/>
    <n v="0"/>
    <n v="2202.9299999999998"/>
    <n v="437.47"/>
  </r>
  <r>
    <x v="599"/>
    <x v="433"/>
    <x v="2"/>
    <x v="5"/>
    <x v="12"/>
    <s v="Consumer"/>
    <x v="6"/>
    <s v="West"/>
    <s v="Ava Bennett"/>
    <n v="5"/>
    <n v="297.52"/>
    <n v="0.03"/>
    <n v="1442.97"/>
    <n v="258.76"/>
  </r>
  <r>
    <x v="600"/>
    <x v="434"/>
    <x v="0"/>
    <x v="7"/>
    <x v="4"/>
    <s v="Small Business"/>
    <x v="8"/>
    <s v="South"/>
    <s v="Liam Brooks"/>
    <n v="5"/>
    <n v="424.56"/>
    <n v="0"/>
    <n v="2122.8200000000002"/>
    <n v="346.27"/>
  </r>
  <r>
    <x v="601"/>
    <x v="435"/>
    <x v="1"/>
    <x v="2"/>
    <x v="1"/>
    <s v="Consumer"/>
    <x v="1"/>
    <s v="South"/>
    <s v="Emma Carter"/>
    <n v="11"/>
    <n v="49.81"/>
    <n v="0.1"/>
    <n v="493.09"/>
    <n v="66.599999999999994"/>
  </r>
  <r>
    <x v="602"/>
    <x v="428"/>
    <x v="1"/>
    <x v="4"/>
    <x v="10"/>
    <s v="Corporate"/>
    <x v="5"/>
    <s v="West"/>
    <s v="Emma Carter"/>
    <n v="2"/>
    <n v="37.770000000000003"/>
    <n v="0"/>
    <n v="75.540000000000006"/>
    <n v="-18.97"/>
  </r>
  <r>
    <x v="603"/>
    <x v="436"/>
    <x v="1"/>
    <x v="3"/>
    <x v="6"/>
    <s v="Small Business"/>
    <x v="3"/>
    <s v="South"/>
    <s v="Ava Bennett"/>
    <n v="18"/>
    <n v="82.84"/>
    <n v="0.05"/>
    <n v="1416.56"/>
    <n v="260.83999999999997"/>
  </r>
  <r>
    <x v="604"/>
    <x v="437"/>
    <x v="0"/>
    <x v="7"/>
    <x v="11"/>
    <s v="Small Business"/>
    <x v="1"/>
    <s v="South"/>
    <s v="Sophia Reed"/>
    <n v="1"/>
    <n v="362.17"/>
    <n v="0.03"/>
    <n v="351.3"/>
    <n v="33.520000000000003"/>
  </r>
  <r>
    <x v="605"/>
    <x v="434"/>
    <x v="2"/>
    <x v="6"/>
    <x v="5"/>
    <s v="Corporate"/>
    <x v="0"/>
    <s v="Midwest"/>
    <s v="James Collins"/>
    <n v="3"/>
    <n v="445.53"/>
    <n v="0"/>
    <n v="1336.59"/>
    <n v="197.49"/>
  </r>
  <r>
    <x v="606"/>
    <x v="437"/>
    <x v="1"/>
    <x v="4"/>
    <x v="5"/>
    <s v="Corporate"/>
    <x v="3"/>
    <s v="South"/>
    <s v="Ava Bennett"/>
    <n v="3"/>
    <n v="30.2"/>
    <n v="0.03"/>
    <n v="87.9"/>
    <n v="-18.07"/>
  </r>
  <r>
    <x v="607"/>
    <x v="430"/>
    <x v="2"/>
    <x v="8"/>
    <x v="19"/>
    <s v="Small Business"/>
    <x v="8"/>
    <s v="South"/>
    <s v="Noah Foster"/>
    <n v="3"/>
    <n v="648.45000000000005"/>
    <n v="0.03"/>
    <n v="1886.98"/>
    <n v="191.85"/>
  </r>
  <r>
    <x v="608"/>
    <x v="438"/>
    <x v="2"/>
    <x v="8"/>
    <x v="11"/>
    <s v="Small Business"/>
    <x v="0"/>
    <s v="Midwest"/>
    <s v="Ava Bennett"/>
    <n v="3"/>
    <n v="588.79999999999995"/>
    <n v="0.1"/>
    <n v="1589.76"/>
    <n v="308.27"/>
  </r>
  <r>
    <x v="609"/>
    <x v="435"/>
    <x v="2"/>
    <x v="8"/>
    <x v="7"/>
    <s v="Consumer"/>
    <x v="5"/>
    <s v="West"/>
    <s v="Ava Bennett"/>
    <n v="2"/>
    <n v="649.34"/>
    <n v="0.05"/>
    <n v="1233.74"/>
    <n v="215.62"/>
  </r>
  <r>
    <x v="610"/>
    <x v="439"/>
    <x v="0"/>
    <x v="7"/>
    <x v="18"/>
    <s v="Consumer"/>
    <x v="5"/>
    <s v="West"/>
    <s v="Liam Brooks"/>
    <n v="4"/>
    <n v="453.18"/>
    <n v="0.03"/>
    <n v="1758.32"/>
    <n v="312.86"/>
  </r>
  <r>
    <x v="611"/>
    <x v="435"/>
    <x v="2"/>
    <x v="6"/>
    <x v="1"/>
    <s v="Small Business"/>
    <x v="8"/>
    <s v="South"/>
    <s v="Liam Brooks"/>
    <n v="8"/>
    <n v="492.13"/>
    <n v="7.0000000000000007E-2"/>
    <n v="3661.41"/>
    <n v="832.79"/>
  </r>
  <r>
    <x v="612"/>
    <x v="440"/>
    <x v="0"/>
    <x v="0"/>
    <x v="16"/>
    <s v="Small Business"/>
    <x v="7"/>
    <s v="West"/>
    <s v="Sophia Reed"/>
    <n v="2"/>
    <n v="98.13"/>
    <n v="0.03"/>
    <n v="190.37"/>
    <n v="-21.47"/>
  </r>
  <r>
    <x v="613"/>
    <x v="441"/>
    <x v="0"/>
    <x v="1"/>
    <x v="2"/>
    <s v="Small Business"/>
    <x v="6"/>
    <s v="West"/>
    <s v="Sophia Reed"/>
    <n v="3"/>
    <n v="1389.59"/>
    <n v="0.05"/>
    <n v="3960.33"/>
    <n v="741.51"/>
  </r>
  <r>
    <x v="614"/>
    <x v="442"/>
    <x v="2"/>
    <x v="5"/>
    <x v="17"/>
    <s v="Small Business"/>
    <x v="2"/>
    <s v="Northeast"/>
    <s v="Noah Foster"/>
    <n v="6"/>
    <n v="348.82"/>
    <n v="7.0000000000000007E-2"/>
    <n v="1946.39"/>
    <n v="486.56"/>
  </r>
  <r>
    <x v="615"/>
    <x v="443"/>
    <x v="2"/>
    <x v="8"/>
    <x v="5"/>
    <s v="Consumer"/>
    <x v="7"/>
    <s v="West"/>
    <s v="Noah Foster"/>
    <n v="3"/>
    <n v="592.99"/>
    <n v="0.05"/>
    <n v="1690.02"/>
    <n v="233.01"/>
  </r>
  <r>
    <x v="616"/>
    <x v="444"/>
    <x v="2"/>
    <x v="8"/>
    <x v="12"/>
    <s v="Consumer"/>
    <x v="6"/>
    <s v="West"/>
    <s v="Noah Foster"/>
    <n v="4"/>
    <n v="518.20000000000005"/>
    <n v="0"/>
    <n v="2072.8000000000002"/>
    <n v="300.86"/>
  </r>
  <r>
    <x v="617"/>
    <x v="445"/>
    <x v="0"/>
    <x v="0"/>
    <x v="2"/>
    <s v="Corporate"/>
    <x v="0"/>
    <s v="Midwest"/>
    <s v="Noah Foster"/>
    <n v="9"/>
    <n v="89.19"/>
    <n v="0.03"/>
    <n v="778.59"/>
    <n v="100.36"/>
  </r>
  <r>
    <x v="618"/>
    <x v="446"/>
    <x v="2"/>
    <x v="8"/>
    <x v="2"/>
    <s v="Small Business"/>
    <x v="9"/>
    <s v="South"/>
    <s v="James Collins"/>
    <n v="8"/>
    <n v="597.25"/>
    <n v="0"/>
    <n v="4778"/>
    <n v="815.67"/>
  </r>
  <r>
    <x v="619"/>
    <x v="445"/>
    <x v="1"/>
    <x v="2"/>
    <x v="3"/>
    <s v="Corporate"/>
    <x v="9"/>
    <s v="South"/>
    <s v="Sophia Reed"/>
    <n v="16"/>
    <n v="51.04"/>
    <n v="0"/>
    <n v="816.64"/>
    <n v="111.62"/>
  </r>
  <r>
    <x v="620"/>
    <x v="447"/>
    <x v="1"/>
    <x v="3"/>
    <x v="3"/>
    <s v="Small Business"/>
    <x v="3"/>
    <s v="South"/>
    <s v="Sophia Reed"/>
    <n v="18"/>
    <n v="83.24"/>
    <n v="0"/>
    <n v="1498.38"/>
    <n v="275.7"/>
  </r>
  <r>
    <x v="621"/>
    <x v="441"/>
    <x v="0"/>
    <x v="0"/>
    <x v="12"/>
    <s v="Small Business"/>
    <x v="2"/>
    <s v="Northeast"/>
    <s v="Sophia Reed"/>
    <n v="11"/>
    <n v="105.34"/>
    <n v="0.1"/>
    <n v="1042.82"/>
    <n v="299.72000000000003"/>
  </r>
  <r>
    <x v="622"/>
    <x v="448"/>
    <x v="1"/>
    <x v="2"/>
    <x v="7"/>
    <s v="Consumer"/>
    <x v="5"/>
    <s v="West"/>
    <s v="Sophia Reed"/>
    <n v="13"/>
    <n v="61.91"/>
    <n v="0.05"/>
    <n v="764.65"/>
    <n v="59.64"/>
  </r>
  <r>
    <x v="623"/>
    <x v="446"/>
    <x v="0"/>
    <x v="1"/>
    <x v="0"/>
    <s v="Corporate"/>
    <x v="4"/>
    <s v="West"/>
    <s v="Ava Bennett"/>
    <n v="2"/>
    <n v="1401.06"/>
    <n v="0"/>
    <n v="2802.13"/>
    <n v="381.6"/>
  </r>
  <r>
    <x v="624"/>
    <x v="448"/>
    <x v="1"/>
    <x v="4"/>
    <x v="16"/>
    <s v="Corporate"/>
    <x v="0"/>
    <s v="Midwest"/>
    <s v="Noah Foster"/>
    <n v="18"/>
    <n v="32.58"/>
    <n v="0.03"/>
    <n v="568.88"/>
    <n v="68.91"/>
  </r>
  <r>
    <x v="625"/>
    <x v="448"/>
    <x v="0"/>
    <x v="1"/>
    <x v="0"/>
    <s v="Small Business"/>
    <x v="2"/>
    <s v="Northeast"/>
    <s v="Liam Brooks"/>
    <n v="4"/>
    <n v="1517.73"/>
    <n v="0"/>
    <n v="6070.92"/>
    <n v="969.29"/>
  </r>
  <r>
    <x v="626"/>
    <x v="448"/>
    <x v="0"/>
    <x v="1"/>
    <x v="2"/>
    <s v="Corporate"/>
    <x v="6"/>
    <s v="West"/>
    <s v="Liam Brooks"/>
    <n v="2"/>
    <n v="1246.77"/>
    <n v="0.1"/>
    <n v="2244.19"/>
    <n v="386.08"/>
  </r>
  <r>
    <x v="627"/>
    <x v="447"/>
    <x v="1"/>
    <x v="2"/>
    <x v="10"/>
    <s v="Consumer"/>
    <x v="8"/>
    <s v="South"/>
    <s v="Emma Carter"/>
    <n v="5"/>
    <n v="56.69"/>
    <n v="7.0000000000000007E-2"/>
    <n v="263.63"/>
    <n v="-18.55"/>
  </r>
  <r>
    <x v="628"/>
    <x v="449"/>
    <x v="2"/>
    <x v="8"/>
    <x v="4"/>
    <s v="Corporate"/>
    <x v="5"/>
    <s v="West"/>
    <s v="James Collins"/>
    <n v="5"/>
    <n v="731.69"/>
    <n v="0.03"/>
    <n v="3548.69"/>
    <n v="556.94000000000005"/>
  </r>
  <r>
    <x v="629"/>
    <x v="446"/>
    <x v="2"/>
    <x v="6"/>
    <x v="9"/>
    <s v="Consumer"/>
    <x v="8"/>
    <s v="South"/>
    <s v="Emma Carter"/>
    <n v="4"/>
    <n v="536.94000000000005"/>
    <n v="0.03"/>
    <n v="2083.3200000000002"/>
    <n v="316.33"/>
  </r>
  <r>
    <x v="630"/>
    <x v="450"/>
    <x v="0"/>
    <x v="0"/>
    <x v="16"/>
    <s v="Consumer"/>
    <x v="6"/>
    <s v="West"/>
    <s v="Ava Bennett"/>
    <n v="7"/>
    <n v="92.73"/>
    <n v="0"/>
    <n v="649.12"/>
    <n v="113.53"/>
  </r>
  <r>
    <x v="631"/>
    <x v="451"/>
    <x v="1"/>
    <x v="2"/>
    <x v="0"/>
    <s v="Small Business"/>
    <x v="4"/>
    <s v="West"/>
    <s v="Emma Carter"/>
    <n v="12"/>
    <n v="49.89"/>
    <n v="0"/>
    <n v="598.66"/>
    <n v="65.05"/>
  </r>
  <r>
    <x v="632"/>
    <x v="452"/>
    <x v="2"/>
    <x v="8"/>
    <x v="3"/>
    <s v="Corporate"/>
    <x v="4"/>
    <s v="West"/>
    <s v="Sophia Reed"/>
    <n v="8"/>
    <n v="575.82000000000005"/>
    <n v="0.03"/>
    <n v="4468.3500000000004"/>
    <n v="789.04"/>
  </r>
  <r>
    <x v="633"/>
    <x v="453"/>
    <x v="0"/>
    <x v="0"/>
    <x v="10"/>
    <s v="Small Business"/>
    <x v="7"/>
    <s v="West"/>
    <s v="Liam Brooks"/>
    <n v="4"/>
    <n v="110.05"/>
    <n v="0.05"/>
    <n v="418.19"/>
    <n v="76.819999999999993"/>
  </r>
  <r>
    <x v="634"/>
    <x v="454"/>
    <x v="2"/>
    <x v="8"/>
    <x v="8"/>
    <s v="Small Business"/>
    <x v="8"/>
    <s v="South"/>
    <s v="Ava Bennett"/>
    <n v="2"/>
    <n v="616.04"/>
    <n v="0.05"/>
    <n v="1170.48"/>
    <n v="136.57"/>
  </r>
  <r>
    <x v="635"/>
    <x v="455"/>
    <x v="2"/>
    <x v="5"/>
    <x v="16"/>
    <s v="Corporate"/>
    <x v="8"/>
    <s v="South"/>
    <s v="Sophia Reed"/>
    <n v="4"/>
    <n v="367.48"/>
    <n v="0.05"/>
    <n v="1396.43"/>
    <n v="173.33"/>
  </r>
  <r>
    <x v="636"/>
    <x v="455"/>
    <x v="1"/>
    <x v="3"/>
    <x v="14"/>
    <s v="Small Business"/>
    <x v="9"/>
    <s v="South"/>
    <s v="James Collins"/>
    <n v="14"/>
    <n v="81.72"/>
    <n v="0.1"/>
    <n v="1029.6400000000001"/>
    <n v="200.71"/>
  </r>
  <r>
    <x v="637"/>
    <x v="454"/>
    <x v="2"/>
    <x v="8"/>
    <x v="15"/>
    <s v="Corporate"/>
    <x v="2"/>
    <s v="Northeast"/>
    <s v="Emma Carter"/>
    <n v="5"/>
    <n v="685.49"/>
    <n v="0"/>
    <n v="3427.44"/>
    <n v="701.74"/>
  </r>
  <r>
    <x v="638"/>
    <x v="456"/>
    <x v="2"/>
    <x v="5"/>
    <x v="11"/>
    <s v="Consumer"/>
    <x v="8"/>
    <s v="South"/>
    <s v="Emma Carter"/>
    <n v="3"/>
    <n v="356.81"/>
    <n v="0.1"/>
    <n v="963.37"/>
    <n v="161.21"/>
  </r>
  <r>
    <x v="639"/>
    <x v="457"/>
    <x v="0"/>
    <x v="1"/>
    <x v="11"/>
    <s v="Small Business"/>
    <x v="4"/>
    <s v="West"/>
    <s v="Liam Brooks"/>
    <n v="5"/>
    <n v="1494.91"/>
    <n v="0.05"/>
    <n v="7100.81"/>
    <n v="1229.33"/>
  </r>
  <r>
    <x v="640"/>
    <x v="458"/>
    <x v="2"/>
    <x v="5"/>
    <x v="2"/>
    <s v="Corporate"/>
    <x v="5"/>
    <s v="West"/>
    <s v="Noah Foster"/>
    <n v="8"/>
    <n v="386.1"/>
    <n v="0.05"/>
    <n v="2934.39"/>
    <n v="674.62"/>
  </r>
  <r>
    <x v="641"/>
    <x v="455"/>
    <x v="2"/>
    <x v="6"/>
    <x v="5"/>
    <s v="Small Business"/>
    <x v="0"/>
    <s v="Midwest"/>
    <s v="Noah Foster"/>
    <n v="3"/>
    <n v="485.02"/>
    <n v="0.05"/>
    <n v="1382.32"/>
    <n v="285.70999999999998"/>
  </r>
  <r>
    <x v="642"/>
    <x v="450"/>
    <x v="2"/>
    <x v="6"/>
    <x v="14"/>
    <s v="Small Business"/>
    <x v="4"/>
    <s v="West"/>
    <s v="Noah Foster"/>
    <n v="3"/>
    <n v="503.41"/>
    <n v="0.05"/>
    <n v="1434.73"/>
    <n v="213.64"/>
  </r>
  <r>
    <x v="643"/>
    <x v="459"/>
    <x v="2"/>
    <x v="6"/>
    <x v="10"/>
    <s v="Small Business"/>
    <x v="3"/>
    <s v="South"/>
    <s v="Emma Carter"/>
    <n v="1"/>
    <n v="489.09"/>
    <n v="0"/>
    <n v="489.09"/>
    <n v="64.650000000000006"/>
  </r>
  <r>
    <x v="644"/>
    <x v="460"/>
    <x v="0"/>
    <x v="0"/>
    <x v="8"/>
    <s v="Corporate"/>
    <x v="3"/>
    <s v="South"/>
    <s v="Noah Foster"/>
    <n v="13"/>
    <n v="101.99"/>
    <n v="0.05"/>
    <n v="1259.6199999999999"/>
    <n v="266.27999999999997"/>
  </r>
  <r>
    <x v="645"/>
    <x v="461"/>
    <x v="2"/>
    <x v="8"/>
    <x v="4"/>
    <s v="Consumer"/>
    <x v="9"/>
    <s v="South"/>
    <s v="Emma Carter"/>
    <n v="5"/>
    <n v="558.38"/>
    <n v="0"/>
    <n v="2791.9"/>
    <n v="389.15"/>
  </r>
  <r>
    <x v="646"/>
    <x v="462"/>
    <x v="2"/>
    <x v="8"/>
    <x v="1"/>
    <s v="Small Business"/>
    <x v="9"/>
    <s v="South"/>
    <s v="Sophia Reed"/>
    <n v="1"/>
    <n v="605.92999999999995"/>
    <n v="7.0000000000000007E-2"/>
    <n v="563.51"/>
    <n v="29.89"/>
  </r>
  <r>
    <x v="647"/>
    <x v="463"/>
    <x v="1"/>
    <x v="4"/>
    <x v="9"/>
    <s v="Small Business"/>
    <x v="9"/>
    <s v="South"/>
    <s v="Emma Carter"/>
    <n v="8"/>
    <n v="31.04"/>
    <n v="7.0000000000000007E-2"/>
    <n v="230.95"/>
    <n v="8.14"/>
  </r>
  <r>
    <x v="648"/>
    <x v="464"/>
    <x v="2"/>
    <x v="8"/>
    <x v="2"/>
    <s v="Corporate"/>
    <x v="3"/>
    <s v="South"/>
    <s v="Noah Foster"/>
    <n v="2"/>
    <n v="624.16999999999996"/>
    <n v="7.0000000000000007E-2"/>
    <n v="1160.96"/>
    <n v="152.63"/>
  </r>
  <r>
    <x v="649"/>
    <x v="465"/>
    <x v="2"/>
    <x v="8"/>
    <x v="18"/>
    <s v="Consumer"/>
    <x v="1"/>
    <s v="South"/>
    <s v="Emma Carter"/>
    <n v="2"/>
    <n v="640.98"/>
    <n v="0.03"/>
    <n v="1243.5"/>
    <n v="89.35"/>
  </r>
  <r>
    <x v="650"/>
    <x v="466"/>
    <x v="1"/>
    <x v="2"/>
    <x v="4"/>
    <s v="Consumer"/>
    <x v="3"/>
    <s v="South"/>
    <s v="Sophia Reed"/>
    <n v="18"/>
    <n v="53.76"/>
    <n v="0.05"/>
    <n v="919.22"/>
    <n v="139.53"/>
  </r>
  <r>
    <x v="651"/>
    <x v="462"/>
    <x v="1"/>
    <x v="4"/>
    <x v="1"/>
    <s v="Small Business"/>
    <x v="9"/>
    <s v="South"/>
    <s v="James Collins"/>
    <n v="7"/>
    <n v="33.44"/>
    <n v="0.1"/>
    <n v="210.68"/>
    <n v="-8.1999999999999993"/>
  </r>
  <r>
    <x v="652"/>
    <x v="467"/>
    <x v="1"/>
    <x v="2"/>
    <x v="13"/>
    <s v="Consumer"/>
    <x v="6"/>
    <s v="West"/>
    <s v="Ava Bennett"/>
    <n v="15"/>
    <n v="53.56"/>
    <n v="0.1"/>
    <n v="723.08"/>
    <n v="91.44"/>
  </r>
  <r>
    <x v="653"/>
    <x v="468"/>
    <x v="1"/>
    <x v="2"/>
    <x v="7"/>
    <s v="Consumer"/>
    <x v="1"/>
    <s v="South"/>
    <s v="James Collins"/>
    <n v="11"/>
    <n v="57.38"/>
    <n v="0.05"/>
    <n v="599.66999999999996"/>
    <n v="37.65"/>
  </r>
  <r>
    <x v="654"/>
    <x v="469"/>
    <x v="2"/>
    <x v="5"/>
    <x v="13"/>
    <s v="Small Business"/>
    <x v="7"/>
    <s v="West"/>
    <s v="James Collins"/>
    <n v="3"/>
    <n v="350.99"/>
    <n v="7.0000000000000007E-2"/>
    <n v="979.27"/>
    <n v="164.24"/>
  </r>
  <r>
    <x v="655"/>
    <x v="470"/>
    <x v="0"/>
    <x v="1"/>
    <x v="10"/>
    <s v="Small Business"/>
    <x v="1"/>
    <s v="South"/>
    <s v="Noah Foster"/>
    <n v="7"/>
    <n v="1504.99"/>
    <n v="0"/>
    <n v="10534.95"/>
    <n v="1610.05"/>
  </r>
  <r>
    <x v="656"/>
    <x v="471"/>
    <x v="1"/>
    <x v="4"/>
    <x v="5"/>
    <s v="Consumer"/>
    <x v="4"/>
    <s v="West"/>
    <s v="Emma Carter"/>
    <n v="17"/>
    <n v="34.729999999999997"/>
    <n v="0"/>
    <n v="590.34"/>
    <n v="120.02"/>
  </r>
  <r>
    <x v="657"/>
    <x v="462"/>
    <x v="1"/>
    <x v="2"/>
    <x v="16"/>
    <s v="Consumer"/>
    <x v="7"/>
    <s v="West"/>
    <s v="James Collins"/>
    <n v="4"/>
    <n v="55.56"/>
    <n v="0.1"/>
    <n v="200.02"/>
    <n v="17.37"/>
  </r>
  <r>
    <x v="658"/>
    <x v="472"/>
    <x v="2"/>
    <x v="6"/>
    <x v="1"/>
    <s v="Consumer"/>
    <x v="8"/>
    <s v="South"/>
    <s v="Ava Bennett"/>
    <n v="5"/>
    <n v="548.51"/>
    <n v="0"/>
    <n v="2742.56"/>
    <n v="540.79"/>
  </r>
  <r>
    <x v="659"/>
    <x v="473"/>
    <x v="1"/>
    <x v="3"/>
    <x v="0"/>
    <s v="Small Business"/>
    <x v="7"/>
    <s v="West"/>
    <s v="Liam Brooks"/>
    <n v="6"/>
    <n v="88.83"/>
    <n v="0"/>
    <n v="532.95000000000005"/>
    <n v="105.15"/>
  </r>
  <r>
    <x v="660"/>
    <x v="473"/>
    <x v="2"/>
    <x v="5"/>
    <x v="12"/>
    <s v="Small Business"/>
    <x v="6"/>
    <s v="West"/>
    <s v="James Collins"/>
    <n v="2"/>
    <n v="317.27999999999997"/>
    <n v="0.05"/>
    <n v="602.83000000000004"/>
    <n v="93"/>
  </r>
  <r>
    <x v="661"/>
    <x v="474"/>
    <x v="1"/>
    <x v="4"/>
    <x v="10"/>
    <s v="Corporate"/>
    <x v="3"/>
    <s v="South"/>
    <s v="James Collins"/>
    <n v="3"/>
    <n v="34.619999999999997"/>
    <n v="0.1"/>
    <n v="93.48"/>
    <n v="8.01"/>
  </r>
  <r>
    <x v="662"/>
    <x v="475"/>
    <x v="1"/>
    <x v="3"/>
    <x v="10"/>
    <s v="Consumer"/>
    <x v="7"/>
    <s v="West"/>
    <s v="James Collins"/>
    <n v="13"/>
    <n v="102.17"/>
    <n v="0.1"/>
    <n v="1195.4000000000001"/>
    <n v="163"/>
  </r>
  <r>
    <x v="663"/>
    <x v="476"/>
    <x v="1"/>
    <x v="2"/>
    <x v="13"/>
    <s v="Small Business"/>
    <x v="7"/>
    <s v="West"/>
    <s v="Emma Carter"/>
    <n v="9"/>
    <n v="56.43"/>
    <n v="0"/>
    <n v="507.85"/>
    <n v="61.24"/>
  </r>
  <r>
    <x v="664"/>
    <x v="477"/>
    <x v="1"/>
    <x v="2"/>
    <x v="4"/>
    <s v="Small Business"/>
    <x v="0"/>
    <s v="Midwest"/>
    <s v="Noah Foster"/>
    <n v="15"/>
    <n v="58.01"/>
    <n v="0.03"/>
    <n v="844.04"/>
    <n v="101.94"/>
  </r>
  <r>
    <x v="665"/>
    <x v="478"/>
    <x v="0"/>
    <x v="0"/>
    <x v="1"/>
    <s v="Corporate"/>
    <x v="0"/>
    <s v="Midwest"/>
    <s v="Sophia Reed"/>
    <n v="15"/>
    <n v="104.92"/>
    <n v="7.0000000000000007E-2"/>
    <n v="1463.67"/>
    <n v="400.62"/>
  </r>
  <r>
    <x v="666"/>
    <x v="477"/>
    <x v="0"/>
    <x v="0"/>
    <x v="15"/>
    <s v="Consumer"/>
    <x v="2"/>
    <s v="Northeast"/>
    <s v="Liam Brooks"/>
    <n v="2"/>
    <n v="116.32"/>
    <n v="0.1"/>
    <n v="209.37"/>
    <n v="-31.02"/>
  </r>
  <r>
    <x v="667"/>
    <x v="479"/>
    <x v="0"/>
    <x v="1"/>
    <x v="7"/>
    <s v="Consumer"/>
    <x v="4"/>
    <s v="West"/>
    <s v="James Collins"/>
    <n v="7"/>
    <n v="1598.99"/>
    <n v="0.03"/>
    <n v="10857.12"/>
    <n v="1835.71"/>
  </r>
  <r>
    <x v="668"/>
    <x v="480"/>
    <x v="1"/>
    <x v="2"/>
    <x v="6"/>
    <s v="Small Business"/>
    <x v="9"/>
    <s v="South"/>
    <s v="Liam Brooks"/>
    <n v="4"/>
    <n v="51.96"/>
    <n v="0"/>
    <n v="207.83"/>
    <n v="3.43"/>
  </r>
  <r>
    <x v="669"/>
    <x v="481"/>
    <x v="0"/>
    <x v="1"/>
    <x v="12"/>
    <s v="Consumer"/>
    <x v="5"/>
    <s v="West"/>
    <s v="Ava Bennett"/>
    <n v="4"/>
    <n v="1896.54"/>
    <n v="0.05"/>
    <n v="7206.86"/>
    <n v="1031.9100000000001"/>
  </r>
  <r>
    <x v="670"/>
    <x v="478"/>
    <x v="0"/>
    <x v="7"/>
    <x v="2"/>
    <s v="Consumer"/>
    <x v="9"/>
    <s v="South"/>
    <s v="Sophia Reed"/>
    <n v="3"/>
    <n v="374.65"/>
    <n v="0.03"/>
    <n v="1090.23"/>
    <n v="122.7"/>
  </r>
  <r>
    <x v="671"/>
    <x v="482"/>
    <x v="2"/>
    <x v="6"/>
    <x v="15"/>
    <s v="Consumer"/>
    <x v="7"/>
    <s v="West"/>
    <s v="Noah Foster"/>
    <n v="2"/>
    <n v="533.59"/>
    <n v="0"/>
    <n v="1067.18"/>
    <n v="96.94"/>
  </r>
  <r>
    <x v="672"/>
    <x v="481"/>
    <x v="1"/>
    <x v="3"/>
    <x v="8"/>
    <s v="Corporate"/>
    <x v="6"/>
    <s v="West"/>
    <s v="Noah Foster"/>
    <n v="8"/>
    <n v="87.93"/>
    <n v="0.03"/>
    <n v="682.3"/>
    <n v="141.15"/>
  </r>
  <r>
    <x v="673"/>
    <x v="483"/>
    <x v="1"/>
    <x v="2"/>
    <x v="10"/>
    <s v="Small Business"/>
    <x v="5"/>
    <s v="West"/>
    <s v="Liam Brooks"/>
    <n v="16"/>
    <n v="68.28"/>
    <n v="0.03"/>
    <n v="1059.7"/>
    <n v="140.4"/>
  </r>
  <r>
    <x v="674"/>
    <x v="483"/>
    <x v="0"/>
    <x v="7"/>
    <x v="6"/>
    <s v="Consumer"/>
    <x v="2"/>
    <s v="Northeast"/>
    <s v="Noah Foster"/>
    <n v="4"/>
    <n v="485.72"/>
    <n v="0.1"/>
    <n v="1748.59"/>
    <n v="287.68"/>
  </r>
  <r>
    <x v="675"/>
    <x v="484"/>
    <x v="0"/>
    <x v="0"/>
    <x v="3"/>
    <s v="Small Business"/>
    <x v="5"/>
    <s v="West"/>
    <s v="Liam Brooks"/>
    <n v="17"/>
    <n v="128.99"/>
    <n v="7.0000000000000007E-2"/>
    <n v="2039.3"/>
    <n v="566.39"/>
  </r>
  <r>
    <x v="676"/>
    <x v="485"/>
    <x v="2"/>
    <x v="6"/>
    <x v="19"/>
    <s v="Small Business"/>
    <x v="5"/>
    <s v="West"/>
    <s v="Ava Bennett"/>
    <n v="7"/>
    <n v="600.67999999999995"/>
    <n v="0.05"/>
    <n v="3994.5"/>
    <n v="960.07"/>
  </r>
  <r>
    <x v="677"/>
    <x v="486"/>
    <x v="2"/>
    <x v="5"/>
    <x v="5"/>
    <s v="Consumer"/>
    <x v="0"/>
    <s v="Midwest"/>
    <s v="Noah Foster"/>
    <n v="6"/>
    <n v="378.68"/>
    <n v="0"/>
    <n v="2272.06"/>
    <n v="366.06"/>
  </r>
  <r>
    <x v="678"/>
    <x v="487"/>
    <x v="0"/>
    <x v="7"/>
    <x v="6"/>
    <s v="Corporate"/>
    <x v="8"/>
    <s v="South"/>
    <s v="Liam Brooks"/>
    <n v="8"/>
    <n v="479.09"/>
    <n v="0.03"/>
    <n v="3717.74"/>
    <n v="787.9"/>
  </r>
  <r>
    <x v="679"/>
    <x v="488"/>
    <x v="1"/>
    <x v="3"/>
    <x v="1"/>
    <s v="Small Business"/>
    <x v="0"/>
    <s v="Midwest"/>
    <s v="Noah Foster"/>
    <n v="7"/>
    <n v="90.68"/>
    <n v="0.05"/>
    <n v="603.02"/>
    <n v="126.4"/>
  </r>
  <r>
    <x v="680"/>
    <x v="489"/>
    <x v="0"/>
    <x v="1"/>
    <x v="3"/>
    <s v="Corporate"/>
    <x v="2"/>
    <s v="Northeast"/>
    <s v="Liam Brooks"/>
    <n v="1"/>
    <n v="1760.83"/>
    <n v="0"/>
    <n v="1760.83"/>
    <n v="283.2"/>
  </r>
  <r>
    <x v="681"/>
    <x v="490"/>
    <x v="0"/>
    <x v="7"/>
    <x v="12"/>
    <s v="Small Business"/>
    <x v="3"/>
    <s v="South"/>
    <s v="Noah Foster"/>
    <n v="8"/>
    <n v="387.23"/>
    <n v="0.1"/>
    <n v="2788.06"/>
    <n v="680.15"/>
  </r>
  <r>
    <x v="682"/>
    <x v="491"/>
    <x v="0"/>
    <x v="7"/>
    <x v="5"/>
    <s v="Consumer"/>
    <x v="2"/>
    <s v="Northeast"/>
    <s v="Ava Bennett"/>
    <n v="5"/>
    <n v="485.14"/>
    <n v="0.1"/>
    <n v="2183.15"/>
    <n v="415.93"/>
  </r>
  <r>
    <x v="683"/>
    <x v="492"/>
    <x v="2"/>
    <x v="6"/>
    <x v="2"/>
    <s v="Corporate"/>
    <x v="2"/>
    <s v="Northeast"/>
    <s v="Liam Brooks"/>
    <n v="8"/>
    <n v="623.15"/>
    <n v="0.03"/>
    <n v="4835.63"/>
    <n v="826.72"/>
  </r>
  <r>
    <x v="684"/>
    <x v="493"/>
    <x v="1"/>
    <x v="4"/>
    <x v="9"/>
    <s v="Small Business"/>
    <x v="9"/>
    <s v="South"/>
    <s v="Liam Brooks"/>
    <n v="2"/>
    <n v="31.42"/>
    <n v="0.1"/>
    <n v="56.55"/>
    <n v="-20.86"/>
  </r>
  <r>
    <x v="685"/>
    <x v="494"/>
    <x v="2"/>
    <x v="6"/>
    <x v="6"/>
    <s v="Corporate"/>
    <x v="5"/>
    <s v="West"/>
    <s v="James Collins"/>
    <n v="8"/>
    <n v="614.29999999999995"/>
    <n v="0.1"/>
    <n v="4422.92"/>
    <n v="1109.06"/>
  </r>
  <r>
    <x v="686"/>
    <x v="495"/>
    <x v="0"/>
    <x v="1"/>
    <x v="10"/>
    <s v="Small Business"/>
    <x v="5"/>
    <s v="West"/>
    <s v="Emma Carter"/>
    <n v="2"/>
    <n v="1842.12"/>
    <n v="7.0000000000000007E-2"/>
    <n v="3426.34"/>
    <n v="526.42999999999995"/>
  </r>
  <r>
    <x v="687"/>
    <x v="496"/>
    <x v="0"/>
    <x v="7"/>
    <x v="19"/>
    <s v="Corporate"/>
    <x v="8"/>
    <s v="South"/>
    <s v="Liam Brooks"/>
    <n v="7"/>
    <n v="473.27"/>
    <n v="0.03"/>
    <n v="3213.49"/>
    <n v="630.84"/>
  </r>
  <r>
    <x v="688"/>
    <x v="489"/>
    <x v="0"/>
    <x v="7"/>
    <x v="2"/>
    <s v="Consumer"/>
    <x v="6"/>
    <s v="West"/>
    <s v="Sophia Reed"/>
    <n v="3"/>
    <n v="392.94"/>
    <n v="0"/>
    <n v="1178.83"/>
    <n v="216.51"/>
  </r>
  <r>
    <x v="689"/>
    <x v="486"/>
    <x v="1"/>
    <x v="4"/>
    <x v="13"/>
    <s v="Consumer"/>
    <x v="6"/>
    <s v="West"/>
    <s v="Ava Bennett"/>
    <n v="15"/>
    <n v="31.13"/>
    <n v="0.05"/>
    <n v="443.6"/>
    <n v="58.22"/>
  </r>
  <r>
    <x v="690"/>
    <x v="489"/>
    <x v="2"/>
    <x v="8"/>
    <x v="3"/>
    <s v="Consumer"/>
    <x v="8"/>
    <s v="South"/>
    <s v="Sophia Reed"/>
    <n v="8"/>
    <n v="713.87"/>
    <n v="0.1"/>
    <n v="5139.84"/>
    <n v="1096.98"/>
  </r>
  <r>
    <x v="691"/>
    <x v="487"/>
    <x v="2"/>
    <x v="6"/>
    <x v="4"/>
    <s v="Small Business"/>
    <x v="4"/>
    <s v="West"/>
    <s v="Noah Foster"/>
    <n v="7"/>
    <n v="507.44"/>
    <n v="0.05"/>
    <n v="3374.48"/>
    <n v="594.20000000000005"/>
  </r>
  <r>
    <x v="692"/>
    <x v="497"/>
    <x v="2"/>
    <x v="8"/>
    <x v="14"/>
    <s v="Corporate"/>
    <x v="0"/>
    <s v="Midwest"/>
    <s v="Ava Bennett"/>
    <n v="2"/>
    <n v="663.03"/>
    <n v="7.0000000000000007E-2"/>
    <n v="1233.23"/>
    <n v="135.4"/>
  </r>
  <r>
    <x v="693"/>
    <x v="498"/>
    <x v="1"/>
    <x v="3"/>
    <x v="13"/>
    <s v="Small Business"/>
    <x v="9"/>
    <s v="South"/>
    <s v="Sophia Reed"/>
    <n v="4"/>
    <n v="90.02"/>
    <n v="0"/>
    <n v="360.06"/>
    <n v="21.82"/>
  </r>
  <r>
    <x v="694"/>
    <x v="499"/>
    <x v="0"/>
    <x v="7"/>
    <x v="4"/>
    <s v="Small Business"/>
    <x v="5"/>
    <s v="West"/>
    <s v="James Collins"/>
    <n v="5"/>
    <n v="471.11"/>
    <n v="0.1"/>
    <n v="2119.9899999999998"/>
    <n v="366.33"/>
  </r>
  <r>
    <x v="695"/>
    <x v="500"/>
    <x v="1"/>
    <x v="4"/>
    <x v="17"/>
    <s v="Corporate"/>
    <x v="2"/>
    <s v="Northeast"/>
    <s v="Emma Carter"/>
    <n v="10"/>
    <n v="40.46"/>
    <n v="0"/>
    <n v="404.56"/>
    <n v="65.58"/>
  </r>
  <r>
    <x v="696"/>
    <x v="499"/>
    <x v="0"/>
    <x v="1"/>
    <x v="11"/>
    <s v="Small Business"/>
    <x v="2"/>
    <s v="Northeast"/>
    <s v="James Collins"/>
    <n v="7"/>
    <n v="1805.4"/>
    <n v="0.1"/>
    <n v="11374.03"/>
    <n v="2127.52"/>
  </r>
  <r>
    <x v="697"/>
    <x v="501"/>
    <x v="2"/>
    <x v="8"/>
    <x v="10"/>
    <s v="Corporate"/>
    <x v="7"/>
    <s v="West"/>
    <s v="Liam Brooks"/>
    <n v="3"/>
    <n v="619.61"/>
    <n v="0"/>
    <n v="1858.84"/>
    <n v="328.88"/>
  </r>
  <r>
    <x v="698"/>
    <x v="502"/>
    <x v="0"/>
    <x v="1"/>
    <x v="7"/>
    <s v="Consumer"/>
    <x v="6"/>
    <s v="West"/>
    <s v="Liam Brooks"/>
    <n v="7"/>
    <n v="1499.21"/>
    <n v="7.0000000000000007E-2"/>
    <n v="9759.83"/>
    <n v="1474.47"/>
  </r>
  <r>
    <x v="699"/>
    <x v="502"/>
    <x v="0"/>
    <x v="7"/>
    <x v="19"/>
    <s v="Corporate"/>
    <x v="7"/>
    <s v="West"/>
    <s v="Liam Brooks"/>
    <n v="3"/>
    <n v="448.78"/>
    <n v="0.05"/>
    <n v="1279.02"/>
    <n v="261.95"/>
  </r>
  <r>
    <x v="700"/>
    <x v="503"/>
    <x v="2"/>
    <x v="5"/>
    <x v="10"/>
    <s v="Consumer"/>
    <x v="1"/>
    <s v="South"/>
    <s v="Noah Foster"/>
    <n v="1"/>
    <n v="351.74"/>
    <n v="0"/>
    <n v="351.74"/>
    <n v="-16.7"/>
  </r>
  <r>
    <x v="701"/>
    <x v="499"/>
    <x v="1"/>
    <x v="3"/>
    <x v="18"/>
    <s v="Consumer"/>
    <x v="9"/>
    <s v="South"/>
    <s v="Ava Bennett"/>
    <n v="11"/>
    <n v="81.209999999999994"/>
    <n v="0.05"/>
    <n v="848.69"/>
    <n v="141.85"/>
  </r>
  <r>
    <x v="702"/>
    <x v="503"/>
    <x v="2"/>
    <x v="8"/>
    <x v="3"/>
    <s v="Consumer"/>
    <x v="1"/>
    <s v="South"/>
    <s v="Emma Carter"/>
    <n v="7"/>
    <n v="652.41"/>
    <n v="7.0000000000000007E-2"/>
    <n v="4247.21"/>
    <n v="576.15"/>
  </r>
  <r>
    <x v="703"/>
    <x v="504"/>
    <x v="1"/>
    <x v="2"/>
    <x v="18"/>
    <s v="Consumer"/>
    <x v="6"/>
    <s v="West"/>
    <s v="Sophia Reed"/>
    <n v="16"/>
    <n v="52.94"/>
    <n v="0"/>
    <n v="847.02"/>
    <n v="67.63"/>
  </r>
  <r>
    <x v="704"/>
    <x v="505"/>
    <x v="1"/>
    <x v="4"/>
    <x v="1"/>
    <s v="Corporate"/>
    <x v="1"/>
    <s v="South"/>
    <s v="Ava Bennett"/>
    <n v="12"/>
    <n v="36.79"/>
    <n v="0.1"/>
    <n v="397.37"/>
    <n v="66.540000000000006"/>
  </r>
  <r>
    <x v="705"/>
    <x v="506"/>
    <x v="2"/>
    <x v="6"/>
    <x v="2"/>
    <s v="Consumer"/>
    <x v="7"/>
    <s v="West"/>
    <s v="James Collins"/>
    <n v="6"/>
    <n v="571.92999999999995"/>
    <n v="0"/>
    <n v="3431.58"/>
    <n v="786.57"/>
  </r>
  <r>
    <x v="706"/>
    <x v="507"/>
    <x v="2"/>
    <x v="8"/>
    <x v="5"/>
    <s v="Corporate"/>
    <x v="2"/>
    <s v="Northeast"/>
    <s v="Liam Brooks"/>
    <n v="8"/>
    <n v="674.99"/>
    <n v="0.05"/>
    <n v="5129.96"/>
    <n v="1174.42"/>
  </r>
  <r>
    <x v="707"/>
    <x v="508"/>
    <x v="0"/>
    <x v="0"/>
    <x v="19"/>
    <s v="Small Business"/>
    <x v="5"/>
    <s v="West"/>
    <s v="Sophia Reed"/>
    <n v="13"/>
    <n v="123.86"/>
    <n v="0"/>
    <n v="1610.18"/>
    <n v="410.77"/>
  </r>
  <r>
    <x v="708"/>
    <x v="509"/>
    <x v="1"/>
    <x v="4"/>
    <x v="18"/>
    <s v="Corporate"/>
    <x v="8"/>
    <s v="South"/>
    <s v="Emma Carter"/>
    <n v="9"/>
    <n v="37.81"/>
    <n v="0.03"/>
    <n v="330.06"/>
    <n v="24.36"/>
  </r>
  <r>
    <x v="709"/>
    <x v="510"/>
    <x v="1"/>
    <x v="2"/>
    <x v="18"/>
    <s v="Consumer"/>
    <x v="4"/>
    <s v="West"/>
    <s v="Emma Carter"/>
    <n v="3"/>
    <n v="60.3"/>
    <n v="0.05"/>
    <n v="171.85"/>
    <n v="-25.15"/>
  </r>
  <r>
    <x v="710"/>
    <x v="511"/>
    <x v="0"/>
    <x v="0"/>
    <x v="9"/>
    <s v="Consumer"/>
    <x v="9"/>
    <s v="South"/>
    <s v="Emma Carter"/>
    <n v="18"/>
    <n v="96.62"/>
    <n v="0.1"/>
    <n v="1565.27"/>
    <n v="374.98"/>
  </r>
  <r>
    <x v="711"/>
    <x v="512"/>
    <x v="0"/>
    <x v="0"/>
    <x v="15"/>
    <s v="Consumer"/>
    <x v="0"/>
    <s v="Midwest"/>
    <s v="Noah Foster"/>
    <n v="5"/>
    <n v="101.37"/>
    <n v="0.03"/>
    <n v="491.64"/>
    <n v="101.79"/>
  </r>
  <r>
    <x v="712"/>
    <x v="513"/>
    <x v="1"/>
    <x v="4"/>
    <x v="0"/>
    <s v="Small Business"/>
    <x v="5"/>
    <s v="West"/>
    <s v="Sophia Reed"/>
    <n v="11"/>
    <n v="41.41"/>
    <n v="0"/>
    <n v="455.56"/>
    <n v="33.479999999999997"/>
  </r>
  <r>
    <x v="713"/>
    <x v="514"/>
    <x v="1"/>
    <x v="3"/>
    <x v="7"/>
    <s v="Consumer"/>
    <x v="1"/>
    <s v="South"/>
    <s v="Noah Foster"/>
    <n v="9"/>
    <n v="91.91"/>
    <n v="0.05"/>
    <n v="785.81"/>
    <n v="132.36000000000001"/>
  </r>
  <r>
    <x v="714"/>
    <x v="515"/>
    <x v="2"/>
    <x v="6"/>
    <x v="19"/>
    <s v="Small Business"/>
    <x v="3"/>
    <s v="South"/>
    <s v="Liam Brooks"/>
    <n v="1"/>
    <n v="538.22"/>
    <n v="7.0000000000000007E-2"/>
    <n v="500.55"/>
    <n v="102.87"/>
  </r>
  <r>
    <x v="715"/>
    <x v="516"/>
    <x v="1"/>
    <x v="2"/>
    <x v="3"/>
    <s v="Small Business"/>
    <x v="7"/>
    <s v="West"/>
    <s v="Emma Carter"/>
    <n v="6"/>
    <n v="63.08"/>
    <n v="0"/>
    <n v="378.5"/>
    <n v="19.72"/>
  </r>
  <r>
    <x v="716"/>
    <x v="517"/>
    <x v="1"/>
    <x v="4"/>
    <x v="12"/>
    <s v="Small Business"/>
    <x v="7"/>
    <s v="West"/>
    <s v="James Collins"/>
    <n v="12"/>
    <n v="39.29"/>
    <n v="0"/>
    <n v="471.43"/>
    <n v="50.79"/>
  </r>
  <r>
    <x v="717"/>
    <x v="518"/>
    <x v="0"/>
    <x v="0"/>
    <x v="15"/>
    <s v="Consumer"/>
    <x v="7"/>
    <s v="West"/>
    <s v="Liam Brooks"/>
    <n v="16"/>
    <n v="115.95"/>
    <n v="0.1"/>
    <n v="1669.66"/>
    <n v="447.21"/>
  </r>
  <r>
    <x v="718"/>
    <x v="509"/>
    <x v="0"/>
    <x v="1"/>
    <x v="6"/>
    <s v="Small Business"/>
    <x v="4"/>
    <s v="West"/>
    <s v="James Collins"/>
    <n v="3"/>
    <n v="1585.9"/>
    <n v="7.0000000000000007E-2"/>
    <n v="4424.6499999999996"/>
    <n v="696.84"/>
  </r>
  <r>
    <x v="719"/>
    <x v="510"/>
    <x v="1"/>
    <x v="3"/>
    <x v="5"/>
    <s v="Corporate"/>
    <x v="3"/>
    <s v="South"/>
    <s v="Emma Carter"/>
    <n v="10"/>
    <n v="87.86"/>
    <n v="0.03"/>
    <n v="852.24"/>
    <n v="141.26"/>
  </r>
  <r>
    <x v="720"/>
    <x v="519"/>
    <x v="2"/>
    <x v="5"/>
    <x v="13"/>
    <s v="Consumer"/>
    <x v="3"/>
    <s v="South"/>
    <s v="Ava Bennett"/>
    <n v="6"/>
    <n v="333.98"/>
    <n v="0.1"/>
    <n v="1803.51"/>
    <n v="436.89"/>
  </r>
  <r>
    <x v="721"/>
    <x v="519"/>
    <x v="2"/>
    <x v="5"/>
    <x v="6"/>
    <s v="Corporate"/>
    <x v="6"/>
    <s v="West"/>
    <s v="James Collins"/>
    <n v="4"/>
    <n v="337.93"/>
    <n v="0.03"/>
    <n v="1311.18"/>
    <n v="222.2"/>
  </r>
  <r>
    <x v="722"/>
    <x v="514"/>
    <x v="2"/>
    <x v="5"/>
    <x v="1"/>
    <s v="Consumer"/>
    <x v="7"/>
    <s v="West"/>
    <s v="Liam Brooks"/>
    <n v="2"/>
    <n v="375.86"/>
    <n v="7.0000000000000007E-2"/>
    <n v="699.1"/>
    <n v="37.4"/>
  </r>
  <r>
    <x v="723"/>
    <x v="520"/>
    <x v="0"/>
    <x v="0"/>
    <x v="2"/>
    <s v="Corporate"/>
    <x v="7"/>
    <s v="West"/>
    <s v="Emma Carter"/>
    <n v="3"/>
    <n v="118.01"/>
    <n v="0"/>
    <n v="354.02"/>
    <n v="30.91"/>
  </r>
  <r>
    <x v="724"/>
    <x v="521"/>
    <x v="2"/>
    <x v="6"/>
    <x v="14"/>
    <s v="Consumer"/>
    <x v="7"/>
    <s v="West"/>
    <s v="Ava Bennett"/>
    <n v="7"/>
    <n v="634.36"/>
    <n v="7.0000000000000007E-2"/>
    <n v="4129.6899999999996"/>
    <n v="896.35"/>
  </r>
  <r>
    <x v="725"/>
    <x v="522"/>
    <x v="2"/>
    <x v="8"/>
    <x v="5"/>
    <s v="Corporate"/>
    <x v="7"/>
    <s v="West"/>
    <s v="Ava Bennett"/>
    <n v="3"/>
    <n v="727.97"/>
    <n v="0.05"/>
    <n v="2074.73"/>
    <n v="250.1"/>
  </r>
  <r>
    <x v="726"/>
    <x v="523"/>
    <x v="0"/>
    <x v="0"/>
    <x v="15"/>
    <s v="Small Business"/>
    <x v="1"/>
    <s v="South"/>
    <s v="Emma Carter"/>
    <n v="7"/>
    <n v="123.01"/>
    <n v="0.03"/>
    <n v="835.21"/>
    <n v="247.78"/>
  </r>
  <r>
    <x v="727"/>
    <x v="524"/>
    <x v="0"/>
    <x v="1"/>
    <x v="14"/>
    <s v="Small Business"/>
    <x v="3"/>
    <s v="South"/>
    <s v="Emma Carter"/>
    <n v="3"/>
    <n v="1519.72"/>
    <n v="0.03"/>
    <n v="4422.38"/>
    <n v="953.7"/>
  </r>
  <r>
    <x v="728"/>
    <x v="525"/>
    <x v="0"/>
    <x v="1"/>
    <x v="14"/>
    <s v="Small Business"/>
    <x v="2"/>
    <s v="Northeast"/>
    <s v="Emma Carter"/>
    <n v="5"/>
    <n v="1987.7"/>
    <n v="0"/>
    <n v="9938.51"/>
    <n v="1445.09"/>
  </r>
  <r>
    <x v="729"/>
    <x v="526"/>
    <x v="0"/>
    <x v="0"/>
    <x v="4"/>
    <s v="Corporate"/>
    <x v="3"/>
    <s v="South"/>
    <s v="Noah Foster"/>
    <n v="17"/>
    <n v="110.23"/>
    <n v="7.0000000000000007E-2"/>
    <n v="1742.7"/>
    <n v="460.2"/>
  </r>
  <r>
    <x v="730"/>
    <x v="527"/>
    <x v="1"/>
    <x v="3"/>
    <x v="7"/>
    <s v="Corporate"/>
    <x v="9"/>
    <s v="South"/>
    <s v="Ava Bennett"/>
    <n v="16"/>
    <n v="98.75"/>
    <n v="0.1"/>
    <n v="1421.98"/>
    <n v="245.89"/>
  </r>
  <r>
    <x v="731"/>
    <x v="528"/>
    <x v="0"/>
    <x v="0"/>
    <x v="2"/>
    <s v="Small Business"/>
    <x v="9"/>
    <s v="South"/>
    <s v="Liam Brooks"/>
    <n v="14"/>
    <n v="105.59"/>
    <n v="0"/>
    <n v="1478.23"/>
    <n v="384.45"/>
  </r>
  <r>
    <x v="732"/>
    <x v="529"/>
    <x v="2"/>
    <x v="5"/>
    <x v="19"/>
    <s v="Consumer"/>
    <x v="2"/>
    <s v="Northeast"/>
    <s v="James Collins"/>
    <n v="5"/>
    <n v="441.25"/>
    <n v="0"/>
    <n v="2206.2600000000002"/>
    <n v="534.32000000000005"/>
  </r>
  <r>
    <x v="733"/>
    <x v="530"/>
    <x v="2"/>
    <x v="6"/>
    <x v="14"/>
    <s v="Consumer"/>
    <x v="5"/>
    <s v="West"/>
    <s v="Liam Brooks"/>
    <n v="8"/>
    <n v="671.79"/>
    <n v="0"/>
    <n v="5374.33"/>
    <n v="946.64"/>
  </r>
  <r>
    <x v="734"/>
    <x v="531"/>
    <x v="0"/>
    <x v="7"/>
    <x v="0"/>
    <s v="Consumer"/>
    <x v="1"/>
    <s v="South"/>
    <s v="Ava Bennett"/>
    <n v="8"/>
    <n v="436.81"/>
    <n v="7.0000000000000007E-2"/>
    <n v="3249.84"/>
    <n v="691.26"/>
  </r>
  <r>
    <x v="735"/>
    <x v="532"/>
    <x v="1"/>
    <x v="2"/>
    <x v="2"/>
    <s v="Corporate"/>
    <x v="3"/>
    <s v="South"/>
    <s v="Noah Foster"/>
    <n v="2"/>
    <n v="60.65"/>
    <n v="0.03"/>
    <n v="117.66"/>
    <n v="3.61"/>
  </r>
  <r>
    <x v="736"/>
    <x v="527"/>
    <x v="2"/>
    <x v="5"/>
    <x v="7"/>
    <s v="Corporate"/>
    <x v="0"/>
    <s v="Midwest"/>
    <s v="Sophia Reed"/>
    <n v="2"/>
    <n v="365.42"/>
    <n v="0.05"/>
    <n v="694.3"/>
    <n v="149.49"/>
  </r>
  <r>
    <x v="737"/>
    <x v="532"/>
    <x v="0"/>
    <x v="1"/>
    <x v="10"/>
    <s v="Small Business"/>
    <x v="5"/>
    <s v="West"/>
    <s v="Emma Carter"/>
    <n v="6"/>
    <n v="1855.42"/>
    <n v="0.03"/>
    <n v="10798.54"/>
    <n v="1629.19"/>
  </r>
  <r>
    <x v="738"/>
    <x v="531"/>
    <x v="0"/>
    <x v="1"/>
    <x v="18"/>
    <s v="Consumer"/>
    <x v="1"/>
    <s v="South"/>
    <s v="Liam Brooks"/>
    <n v="8"/>
    <n v="1706.05"/>
    <n v="7.0000000000000007E-2"/>
    <n v="12693"/>
    <n v="2178.65"/>
  </r>
  <r>
    <x v="739"/>
    <x v="533"/>
    <x v="1"/>
    <x v="3"/>
    <x v="4"/>
    <s v="Small Business"/>
    <x v="7"/>
    <s v="West"/>
    <s v="Emma Carter"/>
    <n v="15"/>
    <n v="105.25"/>
    <n v="0"/>
    <n v="1578.79"/>
    <n v="248.47"/>
  </r>
  <r>
    <x v="740"/>
    <x v="534"/>
    <x v="0"/>
    <x v="1"/>
    <x v="7"/>
    <s v="Small Business"/>
    <x v="4"/>
    <s v="West"/>
    <s v="Ava Bennett"/>
    <n v="7"/>
    <n v="1628.8"/>
    <n v="0.1"/>
    <n v="10261.43"/>
    <n v="1783.73"/>
  </r>
  <r>
    <x v="741"/>
    <x v="535"/>
    <x v="1"/>
    <x v="3"/>
    <x v="0"/>
    <s v="Consumer"/>
    <x v="2"/>
    <s v="Northeast"/>
    <s v="Noah Foster"/>
    <n v="16"/>
    <n v="104.08"/>
    <n v="0.05"/>
    <n v="1582.02"/>
    <n v="364.75"/>
  </r>
  <r>
    <x v="742"/>
    <x v="536"/>
    <x v="0"/>
    <x v="1"/>
    <x v="11"/>
    <s v="Small Business"/>
    <x v="5"/>
    <s v="West"/>
    <s v="Ava Bennett"/>
    <n v="5"/>
    <n v="2007.53"/>
    <n v="0.05"/>
    <n v="9535.7800000000007"/>
    <n v="2070.6999999999998"/>
  </r>
  <r>
    <x v="743"/>
    <x v="537"/>
    <x v="2"/>
    <x v="6"/>
    <x v="3"/>
    <s v="Corporate"/>
    <x v="0"/>
    <s v="Midwest"/>
    <s v="James Collins"/>
    <n v="2"/>
    <n v="543.5"/>
    <n v="0.05"/>
    <n v="1032.6500000000001"/>
    <n v="140.61000000000001"/>
  </r>
  <r>
    <x v="744"/>
    <x v="538"/>
    <x v="1"/>
    <x v="4"/>
    <x v="18"/>
    <s v="Consumer"/>
    <x v="1"/>
    <s v="South"/>
    <s v="Sophia Reed"/>
    <n v="12"/>
    <n v="38.19"/>
    <n v="0.1"/>
    <n v="412.46"/>
    <n v="56.38"/>
  </r>
  <r>
    <x v="745"/>
    <x v="539"/>
    <x v="1"/>
    <x v="2"/>
    <x v="18"/>
    <s v="Small Business"/>
    <x v="6"/>
    <s v="West"/>
    <s v="Emma Carter"/>
    <n v="6"/>
    <n v="56.7"/>
    <n v="0"/>
    <n v="340.18"/>
    <n v="49.25"/>
  </r>
  <r>
    <x v="746"/>
    <x v="535"/>
    <x v="2"/>
    <x v="5"/>
    <x v="12"/>
    <s v="Consumer"/>
    <x v="7"/>
    <s v="West"/>
    <s v="James Collins"/>
    <n v="8"/>
    <n v="414.12"/>
    <n v="7.0000000000000007E-2"/>
    <n v="3081.03"/>
    <n v="512.89"/>
  </r>
  <r>
    <x v="747"/>
    <x v="540"/>
    <x v="0"/>
    <x v="0"/>
    <x v="15"/>
    <s v="Consumer"/>
    <x v="5"/>
    <s v="West"/>
    <s v="Emma Carter"/>
    <n v="13"/>
    <n v="138.91"/>
    <n v="0.05"/>
    <n v="1715.51"/>
    <n v="507.62"/>
  </r>
  <r>
    <x v="748"/>
    <x v="541"/>
    <x v="2"/>
    <x v="5"/>
    <x v="15"/>
    <s v="Small Business"/>
    <x v="8"/>
    <s v="South"/>
    <s v="Liam Brooks"/>
    <n v="8"/>
    <n v="379.43"/>
    <n v="0.1"/>
    <n v="2731.91"/>
    <n v="493.92"/>
  </r>
  <r>
    <x v="749"/>
    <x v="542"/>
    <x v="0"/>
    <x v="1"/>
    <x v="10"/>
    <s v="Consumer"/>
    <x v="9"/>
    <s v="South"/>
    <s v="Liam Brooks"/>
    <n v="4"/>
    <n v="1663.65"/>
    <n v="0.03"/>
    <n v="6454.98"/>
    <n v="843.4"/>
  </r>
  <r>
    <x v="750"/>
    <x v="533"/>
    <x v="0"/>
    <x v="1"/>
    <x v="8"/>
    <s v="Corporate"/>
    <x v="1"/>
    <s v="South"/>
    <s v="Sophia Reed"/>
    <n v="8"/>
    <n v="1597.14"/>
    <n v="0"/>
    <n v="12777.11"/>
    <n v="2457.5100000000002"/>
  </r>
  <r>
    <x v="751"/>
    <x v="543"/>
    <x v="2"/>
    <x v="6"/>
    <x v="4"/>
    <s v="Consumer"/>
    <x v="2"/>
    <s v="Northeast"/>
    <s v="Liam Brooks"/>
    <n v="2"/>
    <n v="604.29"/>
    <n v="7.0000000000000007E-2"/>
    <n v="1123.98"/>
    <n v="173.78"/>
  </r>
  <r>
    <x v="752"/>
    <x v="544"/>
    <x v="0"/>
    <x v="0"/>
    <x v="12"/>
    <s v="Consumer"/>
    <x v="5"/>
    <s v="West"/>
    <s v="Sophia Reed"/>
    <n v="16"/>
    <n v="121.38"/>
    <n v="0.05"/>
    <n v="1844.92"/>
    <n v="452.65"/>
  </r>
  <r>
    <x v="753"/>
    <x v="545"/>
    <x v="1"/>
    <x v="4"/>
    <x v="13"/>
    <s v="Corporate"/>
    <x v="7"/>
    <s v="West"/>
    <s v="James Collins"/>
    <n v="18"/>
    <n v="38.4"/>
    <n v="0.03"/>
    <n v="670.49"/>
    <n v="119.61"/>
  </r>
  <r>
    <x v="754"/>
    <x v="539"/>
    <x v="0"/>
    <x v="7"/>
    <x v="12"/>
    <s v="Small Business"/>
    <x v="7"/>
    <s v="West"/>
    <s v="Sophia Reed"/>
    <n v="1"/>
    <n v="461.45"/>
    <n v="0.03"/>
    <n v="447.61"/>
    <n v="-6.89"/>
  </r>
  <r>
    <x v="755"/>
    <x v="546"/>
    <x v="2"/>
    <x v="5"/>
    <x v="4"/>
    <s v="Corporate"/>
    <x v="7"/>
    <s v="West"/>
    <s v="Liam Brooks"/>
    <n v="3"/>
    <n v="390.12"/>
    <n v="0"/>
    <n v="1170.3599999999999"/>
    <n v="263.89"/>
  </r>
  <r>
    <x v="756"/>
    <x v="547"/>
    <x v="1"/>
    <x v="2"/>
    <x v="6"/>
    <s v="Small Business"/>
    <x v="9"/>
    <s v="South"/>
    <s v="Liam Brooks"/>
    <n v="5"/>
    <n v="55.95"/>
    <n v="0.03"/>
    <n v="271.35000000000002"/>
    <n v="1.81"/>
  </r>
  <r>
    <x v="757"/>
    <x v="548"/>
    <x v="0"/>
    <x v="0"/>
    <x v="15"/>
    <s v="Corporate"/>
    <x v="9"/>
    <s v="South"/>
    <s v="James Collins"/>
    <n v="16"/>
    <n v="115.03"/>
    <n v="0"/>
    <n v="1840.46"/>
    <n v="509.52"/>
  </r>
  <r>
    <x v="758"/>
    <x v="549"/>
    <x v="1"/>
    <x v="3"/>
    <x v="7"/>
    <s v="Corporate"/>
    <x v="8"/>
    <s v="South"/>
    <s v="Noah Foster"/>
    <n v="3"/>
    <n v="109.84"/>
    <n v="0.1"/>
    <n v="296.56"/>
    <n v="46.85"/>
  </r>
  <r>
    <x v="759"/>
    <x v="550"/>
    <x v="2"/>
    <x v="5"/>
    <x v="8"/>
    <s v="Small Business"/>
    <x v="0"/>
    <s v="Midwest"/>
    <s v="Emma Carter"/>
    <n v="7"/>
    <n v="389.42"/>
    <n v="7.0000000000000007E-2"/>
    <n v="2535.11"/>
    <n v="589.92999999999995"/>
  </r>
  <r>
    <x v="760"/>
    <x v="551"/>
    <x v="1"/>
    <x v="4"/>
    <x v="18"/>
    <s v="Consumer"/>
    <x v="7"/>
    <s v="West"/>
    <s v="Emma Carter"/>
    <n v="12"/>
    <n v="42.25"/>
    <n v="0.1"/>
    <n v="456.32"/>
    <n v="67.900000000000006"/>
  </r>
  <r>
    <x v="761"/>
    <x v="552"/>
    <x v="2"/>
    <x v="5"/>
    <x v="9"/>
    <s v="Corporate"/>
    <x v="8"/>
    <s v="South"/>
    <s v="Ava Bennett"/>
    <n v="2"/>
    <n v="442.35"/>
    <n v="0"/>
    <n v="884.7"/>
    <n v="209.46"/>
  </r>
  <r>
    <x v="762"/>
    <x v="553"/>
    <x v="1"/>
    <x v="4"/>
    <x v="11"/>
    <s v="Consumer"/>
    <x v="7"/>
    <s v="West"/>
    <s v="Ava Bennett"/>
    <n v="16"/>
    <n v="39.58"/>
    <n v="0"/>
    <n v="633.35"/>
    <n v="127.41"/>
  </r>
  <r>
    <x v="763"/>
    <x v="554"/>
    <x v="2"/>
    <x v="8"/>
    <x v="16"/>
    <s v="Small Business"/>
    <x v="4"/>
    <s v="West"/>
    <s v="Ava Bennett"/>
    <n v="3"/>
    <n v="696.55"/>
    <n v="0.03"/>
    <n v="2026.96"/>
    <n v="375.9"/>
  </r>
  <r>
    <x v="764"/>
    <x v="555"/>
    <x v="2"/>
    <x v="6"/>
    <x v="3"/>
    <s v="Corporate"/>
    <x v="2"/>
    <s v="Northeast"/>
    <s v="Ava Bennett"/>
    <n v="1"/>
    <n v="676.15"/>
    <n v="0"/>
    <n v="676.15"/>
    <n v="89.23"/>
  </r>
  <r>
    <x v="765"/>
    <x v="551"/>
    <x v="0"/>
    <x v="7"/>
    <x v="11"/>
    <s v="Consumer"/>
    <x v="1"/>
    <s v="South"/>
    <s v="James Collins"/>
    <n v="8"/>
    <n v="495.07"/>
    <n v="0.03"/>
    <n v="3841.77"/>
    <n v="896.01"/>
  </r>
  <r>
    <x v="766"/>
    <x v="556"/>
    <x v="2"/>
    <x v="8"/>
    <x v="6"/>
    <s v="Corporate"/>
    <x v="7"/>
    <s v="West"/>
    <s v="Emma Carter"/>
    <n v="8"/>
    <n v="808.67"/>
    <n v="0"/>
    <n v="6469.33"/>
    <n v="1193.05"/>
  </r>
  <r>
    <x v="767"/>
    <x v="548"/>
    <x v="2"/>
    <x v="5"/>
    <x v="18"/>
    <s v="Corporate"/>
    <x v="6"/>
    <s v="West"/>
    <s v="Liam Brooks"/>
    <n v="8"/>
    <n v="396.65"/>
    <n v="0.03"/>
    <n v="3078.01"/>
    <n v="771"/>
  </r>
  <r>
    <x v="768"/>
    <x v="557"/>
    <x v="0"/>
    <x v="1"/>
    <x v="19"/>
    <s v="Corporate"/>
    <x v="3"/>
    <s v="South"/>
    <s v="Sophia Reed"/>
    <n v="1"/>
    <n v="1703.53"/>
    <n v="0"/>
    <n v="1703.53"/>
    <n v="235.69"/>
  </r>
  <r>
    <x v="769"/>
    <x v="556"/>
    <x v="0"/>
    <x v="1"/>
    <x v="17"/>
    <s v="Small Business"/>
    <x v="1"/>
    <s v="South"/>
    <s v="Liam Brooks"/>
    <n v="4"/>
    <n v="1891.2"/>
    <n v="0.1"/>
    <n v="6808.32"/>
    <n v="937.49"/>
  </r>
  <r>
    <x v="770"/>
    <x v="558"/>
    <x v="0"/>
    <x v="1"/>
    <x v="5"/>
    <s v="Small Business"/>
    <x v="5"/>
    <s v="West"/>
    <s v="Emma Carter"/>
    <n v="1"/>
    <n v="2151.2399999999998"/>
    <n v="0"/>
    <n v="2151.2399999999998"/>
    <n v="258.98"/>
  </r>
  <r>
    <x v="771"/>
    <x v="559"/>
    <x v="1"/>
    <x v="2"/>
    <x v="15"/>
    <s v="Corporate"/>
    <x v="0"/>
    <s v="Midwest"/>
    <s v="Sophia Reed"/>
    <n v="13"/>
    <n v="64.150000000000006"/>
    <n v="7.0000000000000007E-2"/>
    <n v="775.55"/>
    <n v="101.38"/>
  </r>
  <r>
    <x v="772"/>
    <x v="556"/>
    <x v="2"/>
    <x v="5"/>
    <x v="7"/>
    <s v="Corporate"/>
    <x v="8"/>
    <s v="South"/>
    <s v="Liam Brooks"/>
    <n v="4"/>
    <n v="438.7"/>
    <n v="0.1"/>
    <n v="1579.32"/>
    <n v="275.11"/>
  </r>
  <r>
    <x v="773"/>
    <x v="560"/>
    <x v="0"/>
    <x v="0"/>
    <x v="17"/>
    <s v="Consumer"/>
    <x v="9"/>
    <s v="South"/>
    <s v="Sophia Reed"/>
    <n v="6"/>
    <n v="111.07"/>
    <n v="0"/>
    <n v="666.39"/>
    <n v="153.80000000000001"/>
  </r>
  <r>
    <x v="774"/>
    <x v="561"/>
    <x v="0"/>
    <x v="0"/>
    <x v="11"/>
    <s v="Consumer"/>
    <x v="8"/>
    <s v="South"/>
    <s v="Ava Bennett"/>
    <n v="4"/>
    <n v="126.24"/>
    <n v="0.05"/>
    <n v="479.73"/>
    <n v="57.98"/>
  </r>
  <r>
    <x v="775"/>
    <x v="562"/>
    <x v="1"/>
    <x v="4"/>
    <x v="15"/>
    <s v="Corporate"/>
    <x v="4"/>
    <s v="West"/>
    <s v="Sophia Reed"/>
    <n v="13"/>
    <n v="40.909999999999997"/>
    <n v="0.05"/>
    <n v="505.29"/>
    <n v="73.599999999999994"/>
  </r>
  <r>
    <x v="776"/>
    <x v="563"/>
    <x v="2"/>
    <x v="8"/>
    <x v="3"/>
    <s v="Corporate"/>
    <x v="9"/>
    <s v="South"/>
    <s v="Liam Brooks"/>
    <n v="4"/>
    <n v="714.9"/>
    <n v="0"/>
    <n v="2859.61"/>
    <n v="499.24"/>
  </r>
  <r>
    <x v="777"/>
    <x v="564"/>
    <x v="2"/>
    <x v="5"/>
    <x v="13"/>
    <s v="Consumer"/>
    <x v="3"/>
    <s v="South"/>
    <s v="Emma Carter"/>
    <n v="3"/>
    <n v="419.69"/>
    <n v="0.03"/>
    <n v="1221.29"/>
    <n v="227.69"/>
  </r>
  <r>
    <x v="778"/>
    <x v="562"/>
    <x v="0"/>
    <x v="7"/>
    <x v="18"/>
    <s v="Small Business"/>
    <x v="4"/>
    <s v="West"/>
    <s v="Noah Foster"/>
    <n v="8"/>
    <n v="492.84"/>
    <n v="0.05"/>
    <n v="3745.62"/>
    <n v="715.88"/>
  </r>
  <r>
    <x v="779"/>
    <x v="565"/>
    <x v="1"/>
    <x v="2"/>
    <x v="15"/>
    <s v="Corporate"/>
    <x v="2"/>
    <s v="Northeast"/>
    <s v="Sophia Reed"/>
    <n v="4"/>
    <n v="72.510000000000005"/>
    <n v="0"/>
    <n v="290.05"/>
    <n v="7.41"/>
  </r>
  <r>
    <x v="780"/>
    <x v="566"/>
    <x v="2"/>
    <x v="5"/>
    <x v="0"/>
    <s v="Corporate"/>
    <x v="0"/>
    <s v="Midwest"/>
    <s v="Emma Carter"/>
    <n v="2"/>
    <n v="409.99"/>
    <n v="7.0000000000000007E-2"/>
    <n v="762.57"/>
    <n v="118.65"/>
  </r>
  <r>
    <x v="781"/>
    <x v="567"/>
    <x v="1"/>
    <x v="4"/>
    <x v="17"/>
    <s v="Consumer"/>
    <x v="0"/>
    <s v="Midwest"/>
    <s v="Ava Bennett"/>
    <n v="6"/>
    <n v="43.16"/>
    <n v="0.1"/>
    <n v="233.04"/>
    <n v="-5.15"/>
  </r>
  <r>
    <x v="782"/>
    <x v="563"/>
    <x v="1"/>
    <x v="4"/>
    <x v="8"/>
    <s v="Small Business"/>
    <x v="3"/>
    <s v="South"/>
    <s v="Ava Bennett"/>
    <n v="2"/>
    <n v="39"/>
    <n v="7.0000000000000007E-2"/>
    <n v="72.55"/>
    <n v="-40.229999999999997"/>
  </r>
  <r>
    <x v="783"/>
    <x v="568"/>
    <x v="0"/>
    <x v="1"/>
    <x v="11"/>
    <s v="Corporate"/>
    <x v="1"/>
    <s v="South"/>
    <s v="Ava Bennett"/>
    <n v="8"/>
    <n v="1913.4"/>
    <n v="0.05"/>
    <n v="14541.88"/>
    <n v="2446.83"/>
  </r>
  <r>
    <x v="784"/>
    <x v="567"/>
    <x v="1"/>
    <x v="3"/>
    <x v="17"/>
    <s v="Small Business"/>
    <x v="7"/>
    <s v="West"/>
    <s v="Noah Foster"/>
    <n v="2"/>
    <n v="112.62"/>
    <n v="7.0000000000000007E-2"/>
    <n v="209.48"/>
    <n v="26.81"/>
  </r>
  <r>
    <x v="785"/>
    <x v="569"/>
    <x v="1"/>
    <x v="3"/>
    <x v="6"/>
    <s v="Corporate"/>
    <x v="3"/>
    <s v="South"/>
    <s v="Noah Foster"/>
    <n v="15"/>
    <n v="107.58"/>
    <n v="0.05"/>
    <n v="1533.05"/>
    <n v="321.35000000000002"/>
  </r>
  <r>
    <x v="786"/>
    <x v="570"/>
    <x v="1"/>
    <x v="3"/>
    <x v="14"/>
    <s v="Corporate"/>
    <x v="5"/>
    <s v="West"/>
    <s v="Liam Brooks"/>
    <n v="6"/>
    <n v="136.03"/>
    <n v="0.03"/>
    <n v="791.69"/>
    <n v="125.11"/>
  </r>
  <r>
    <x v="787"/>
    <x v="571"/>
    <x v="2"/>
    <x v="8"/>
    <x v="17"/>
    <s v="Small Business"/>
    <x v="7"/>
    <s v="West"/>
    <s v="Emma Carter"/>
    <n v="7"/>
    <n v="760.32"/>
    <n v="0"/>
    <n v="5322.25"/>
    <n v="873.45"/>
  </r>
  <r>
    <x v="788"/>
    <x v="568"/>
    <x v="1"/>
    <x v="2"/>
    <x v="9"/>
    <s v="Consumer"/>
    <x v="2"/>
    <s v="Northeast"/>
    <s v="Ava Bennett"/>
    <n v="7"/>
    <n v="69.16"/>
    <n v="0.1"/>
    <n v="435.71"/>
    <n v="64.599999999999994"/>
  </r>
  <r>
    <x v="789"/>
    <x v="572"/>
    <x v="0"/>
    <x v="7"/>
    <x v="17"/>
    <s v="Corporate"/>
    <x v="0"/>
    <s v="Midwest"/>
    <s v="Sophia Reed"/>
    <n v="2"/>
    <n v="487.09"/>
    <n v="0.03"/>
    <n v="944.95"/>
    <n v="169.43"/>
  </r>
  <r>
    <x v="790"/>
    <x v="573"/>
    <x v="1"/>
    <x v="2"/>
    <x v="7"/>
    <s v="Consumer"/>
    <x v="8"/>
    <s v="South"/>
    <s v="Noah Foster"/>
    <n v="17"/>
    <n v="72.430000000000007"/>
    <n v="0.05"/>
    <n v="1169.69"/>
    <n v="187.62"/>
  </r>
  <r>
    <x v="791"/>
    <x v="568"/>
    <x v="0"/>
    <x v="7"/>
    <x v="11"/>
    <s v="Corporate"/>
    <x v="7"/>
    <s v="West"/>
    <s v="Ava Bennett"/>
    <n v="5"/>
    <n v="525.88"/>
    <n v="7.0000000000000007E-2"/>
    <n v="2445.34"/>
    <n v="520.13"/>
  </r>
  <r>
    <x v="792"/>
    <x v="564"/>
    <x v="0"/>
    <x v="1"/>
    <x v="4"/>
    <s v="Small Business"/>
    <x v="6"/>
    <s v="West"/>
    <s v="Ava Bennett"/>
    <n v="4"/>
    <n v="1718.12"/>
    <n v="7.0000000000000007E-2"/>
    <n v="6391.42"/>
    <n v="132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20DB96-3A79-4974-ADC1-7647088DC38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3:D8" firstHeaderRow="1" firstDataRow="1" firstDataCol="1"/>
  <pivotFields count="17">
    <pivotField showAll="0">
      <items count="7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umFmtId="164" showAll="0">
      <items count="575">
        <item x="0"/>
        <item x="5"/>
        <item x="2"/>
        <item x="4"/>
        <item x="7"/>
        <item x="6"/>
        <item x="9"/>
        <item x="8"/>
        <item x="1"/>
        <item x="3"/>
        <item x="16"/>
        <item x="12"/>
        <item x="11"/>
        <item x="17"/>
        <item x="18"/>
        <item x="10"/>
        <item x="14"/>
        <item x="19"/>
        <item x="15"/>
        <item x="13"/>
        <item x="21"/>
        <item x="23"/>
        <item x="28"/>
        <item x="26"/>
        <item x="24"/>
        <item x="25"/>
        <item x="29"/>
        <item x="27"/>
        <item x="20"/>
        <item x="22"/>
        <item x="41"/>
        <item x="37"/>
        <item x="31"/>
        <item x="40"/>
        <item x="36"/>
        <item x="42"/>
        <item x="34"/>
        <item x="38"/>
        <item x="30"/>
        <item x="33"/>
        <item x="32"/>
        <item x="35"/>
        <item x="39"/>
        <item x="58"/>
        <item x="50"/>
        <item x="57"/>
        <item x="48"/>
        <item x="52"/>
        <item x="55"/>
        <item x="46"/>
        <item x="45"/>
        <item x="54"/>
        <item x="51"/>
        <item x="47"/>
        <item x="44"/>
        <item x="49"/>
        <item x="43"/>
        <item x="56"/>
        <item x="53"/>
        <item x="61"/>
        <item x="64"/>
        <item x="63"/>
        <item x="62"/>
        <item x="71"/>
        <item x="68"/>
        <item x="65"/>
        <item x="66"/>
        <item x="60"/>
        <item x="67"/>
        <item x="59"/>
        <item x="69"/>
        <item x="70"/>
        <item x="76"/>
        <item x="79"/>
        <item x="81"/>
        <item x="78"/>
        <item x="77"/>
        <item x="72"/>
        <item x="74"/>
        <item x="73"/>
        <item x="82"/>
        <item x="75"/>
        <item x="83"/>
        <item x="80"/>
        <item x="84"/>
        <item x="89"/>
        <item x="90"/>
        <item x="94"/>
        <item x="88"/>
        <item x="86"/>
        <item x="93"/>
        <item x="87"/>
        <item x="92"/>
        <item x="85"/>
        <item x="91"/>
        <item x="95"/>
        <item x="100"/>
        <item x="104"/>
        <item x="107"/>
        <item x="105"/>
        <item x="96"/>
        <item x="103"/>
        <item x="101"/>
        <item x="99"/>
        <item x="108"/>
        <item x="98"/>
        <item x="106"/>
        <item x="102"/>
        <item x="97"/>
        <item x="110"/>
        <item x="115"/>
        <item x="116"/>
        <item x="113"/>
        <item x="118"/>
        <item x="109"/>
        <item x="114"/>
        <item x="117"/>
        <item x="112"/>
        <item x="111"/>
        <item x="129"/>
        <item x="120"/>
        <item x="123"/>
        <item x="130"/>
        <item x="122"/>
        <item x="128"/>
        <item x="124"/>
        <item x="119"/>
        <item x="127"/>
        <item x="125"/>
        <item x="126"/>
        <item x="121"/>
        <item x="132"/>
        <item x="137"/>
        <item x="140"/>
        <item x="134"/>
        <item x="141"/>
        <item x="135"/>
        <item x="133"/>
        <item x="138"/>
        <item x="142"/>
        <item x="131"/>
        <item x="136"/>
        <item x="139"/>
        <item x="143"/>
        <item x="155"/>
        <item x="146"/>
        <item x="148"/>
        <item x="154"/>
        <item x="151"/>
        <item x="153"/>
        <item x="152"/>
        <item x="145"/>
        <item x="144"/>
        <item x="149"/>
        <item x="150"/>
        <item x="147"/>
        <item x="163"/>
        <item x="159"/>
        <item x="160"/>
        <item x="164"/>
        <item x="165"/>
        <item x="156"/>
        <item x="157"/>
        <item x="161"/>
        <item x="162"/>
        <item x="158"/>
        <item x="175"/>
        <item x="167"/>
        <item x="173"/>
        <item x="168"/>
        <item x="171"/>
        <item x="176"/>
        <item x="169"/>
        <item x="166"/>
        <item x="174"/>
        <item x="170"/>
        <item x="172"/>
        <item x="177"/>
        <item x="184"/>
        <item x="185"/>
        <item x="178"/>
        <item x="179"/>
        <item x="183"/>
        <item x="182"/>
        <item x="181"/>
        <item x="180"/>
        <item x="188"/>
        <item x="189"/>
        <item x="190"/>
        <item x="194"/>
        <item x="192"/>
        <item x="191"/>
        <item x="195"/>
        <item x="193"/>
        <item x="186"/>
        <item x="187"/>
        <item x="205"/>
        <item x="206"/>
        <item x="199"/>
        <item x="207"/>
        <item x="198"/>
        <item x="196"/>
        <item x="197"/>
        <item x="203"/>
        <item x="202"/>
        <item x="204"/>
        <item x="200"/>
        <item x="201"/>
        <item x="221"/>
        <item x="220"/>
        <item x="215"/>
        <item x="211"/>
        <item x="208"/>
        <item x="214"/>
        <item x="219"/>
        <item x="212"/>
        <item x="210"/>
        <item x="213"/>
        <item x="216"/>
        <item x="217"/>
        <item x="218"/>
        <item x="209"/>
        <item x="229"/>
        <item x="233"/>
        <item x="222"/>
        <item x="223"/>
        <item x="232"/>
        <item x="234"/>
        <item x="230"/>
        <item x="225"/>
        <item x="231"/>
        <item x="227"/>
        <item x="228"/>
        <item x="224"/>
        <item x="226"/>
        <item x="238"/>
        <item x="237"/>
        <item x="240"/>
        <item x="239"/>
        <item x="241"/>
        <item x="242"/>
        <item x="243"/>
        <item x="236"/>
        <item x="235"/>
        <item x="253"/>
        <item x="247"/>
        <item x="244"/>
        <item x="252"/>
        <item x="249"/>
        <item x="254"/>
        <item x="245"/>
        <item x="256"/>
        <item x="248"/>
        <item x="251"/>
        <item x="250"/>
        <item x="255"/>
        <item x="246"/>
        <item x="265"/>
        <item x="260"/>
        <item x="258"/>
        <item x="266"/>
        <item x="257"/>
        <item x="261"/>
        <item x="262"/>
        <item x="264"/>
        <item x="267"/>
        <item x="263"/>
        <item x="268"/>
        <item x="259"/>
        <item x="272"/>
        <item x="280"/>
        <item x="270"/>
        <item x="274"/>
        <item x="271"/>
        <item x="279"/>
        <item x="277"/>
        <item x="278"/>
        <item x="276"/>
        <item x="273"/>
        <item x="275"/>
        <item x="269"/>
        <item x="285"/>
        <item x="290"/>
        <item x="282"/>
        <item x="292"/>
        <item x="284"/>
        <item x="283"/>
        <item x="288"/>
        <item x="286"/>
        <item x="289"/>
        <item x="291"/>
        <item x="281"/>
        <item x="287"/>
        <item x="298"/>
        <item x="299"/>
        <item x="296"/>
        <item x="300"/>
        <item x="304"/>
        <item x="294"/>
        <item x="305"/>
        <item x="293"/>
        <item x="301"/>
        <item x="297"/>
        <item x="295"/>
        <item x="306"/>
        <item x="303"/>
        <item x="302"/>
        <item x="313"/>
        <item x="307"/>
        <item x="316"/>
        <item x="314"/>
        <item x="315"/>
        <item x="318"/>
        <item x="309"/>
        <item x="319"/>
        <item x="311"/>
        <item x="317"/>
        <item x="310"/>
        <item x="312"/>
        <item x="308"/>
        <item x="329"/>
        <item x="323"/>
        <item x="328"/>
        <item x="330"/>
        <item x="325"/>
        <item x="326"/>
        <item x="324"/>
        <item x="320"/>
        <item x="327"/>
        <item x="322"/>
        <item x="321"/>
        <item x="335"/>
        <item x="340"/>
        <item x="331"/>
        <item x="342"/>
        <item x="339"/>
        <item x="341"/>
        <item x="333"/>
        <item x="338"/>
        <item x="332"/>
        <item x="337"/>
        <item x="336"/>
        <item x="334"/>
        <item x="354"/>
        <item x="349"/>
        <item x="353"/>
        <item x="352"/>
        <item x="344"/>
        <item x="346"/>
        <item x="348"/>
        <item x="343"/>
        <item x="347"/>
        <item x="345"/>
        <item x="351"/>
        <item x="350"/>
        <item x="356"/>
        <item x="363"/>
        <item x="360"/>
        <item x="358"/>
        <item x="362"/>
        <item x="366"/>
        <item x="364"/>
        <item x="361"/>
        <item x="355"/>
        <item x="359"/>
        <item x="365"/>
        <item x="357"/>
        <item x="372"/>
        <item x="374"/>
        <item x="376"/>
        <item x="367"/>
        <item x="377"/>
        <item x="379"/>
        <item x="368"/>
        <item x="373"/>
        <item x="371"/>
        <item x="370"/>
        <item x="378"/>
        <item x="369"/>
        <item x="375"/>
        <item x="392"/>
        <item x="384"/>
        <item x="386"/>
        <item x="382"/>
        <item x="381"/>
        <item x="390"/>
        <item x="380"/>
        <item x="387"/>
        <item x="389"/>
        <item x="383"/>
        <item x="388"/>
        <item x="391"/>
        <item x="385"/>
        <item x="399"/>
        <item x="403"/>
        <item x="404"/>
        <item x="402"/>
        <item x="396"/>
        <item x="395"/>
        <item x="397"/>
        <item x="398"/>
        <item x="400"/>
        <item x="394"/>
        <item x="401"/>
        <item x="393"/>
        <item x="407"/>
        <item x="408"/>
        <item x="417"/>
        <item x="411"/>
        <item x="412"/>
        <item x="406"/>
        <item x="416"/>
        <item x="410"/>
        <item x="415"/>
        <item x="405"/>
        <item x="413"/>
        <item x="414"/>
        <item x="409"/>
        <item x="419"/>
        <item x="426"/>
        <item x="427"/>
        <item x="418"/>
        <item x="424"/>
        <item x="423"/>
        <item x="422"/>
        <item x="421"/>
        <item x="425"/>
        <item x="420"/>
        <item x="429"/>
        <item x="433"/>
        <item x="438"/>
        <item x="434"/>
        <item x="437"/>
        <item x="436"/>
        <item x="428"/>
        <item x="435"/>
        <item x="439"/>
        <item x="432"/>
        <item x="430"/>
        <item x="431"/>
        <item x="446"/>
        <item x="448"/>
        <item x="447"/>
        <item x="449"/>
        <item x="443"/>
        <item x="445"/>
        <item x="442"/>
        <item x="444"/>
        <item x="440"/>
        <item x="441"/>
        <item x="453"/>
        <item x="454"/>
        <item x="458"/>
        <item x="460"/>
        <item x="451"/>
        <item x="450"/>
        <item x="452"/>
        <item x="455"/>
        <item x="457"/>
        <item x="459"/>
        <item x="456"/>
        <item x="470"/>
        <item x="468"/>
        <item x="469"/>
        <item x="463"/>
        <item x="473"/>
        <item x="464"/>
        <item x="472"/>
        <item x="467"/>
        <item x="466"/>
        <item x="461"/>
        <item x="465"/>
        <item x="462"/>
        <item x="471"/>
        <item x="478"/>
        <item x="483"/>
        <item x="477"/>
        <item x="479"/>
        <item x="481"/>
        <item x="474"/>
        <item x="482"/>
        <item x="475"/>
        <item x="485"/>
        <item x="480"/>
        <item x="484"/>
        <item x="476"/>
        <item x="491"/>
        <item x="490"/>
        <item x="492"/>
        <item x="496"/>
        <item x="495"/>
        <item x="493"/>
        <item x="487"/>
        <item x="486"/>
        <item x="488"/>
        <item x="489"/>
        <item x="494"/>
        <item x="508"/>
        <item x="506"/>
        <item x="497"/>
        <item x="498"/>
        <item x="501"/>
        <item x="507"/>
        <item x="505"/>
        <item x="500"/>
        <item x="503"/>
        <item x="502"/>
        <item x="504"/>
        <item x="499"/>
        <item x="510"/>
        <item x="512"/>
        <item x="518"/>
        <item x="515"/>
        <item x="511"/>
        <item x="513"/>
        <item x="514"/>
        <item x="516"/>
        <item x="509"/>
        <item x="519"/>
        <item x="517"/>
        <item x="525"/>
        <item x="531"/>
        <item x="532"/>
        <item x="530"/>
        <item x="528"/>
        <item x="527"/>
        <item x="520"/>
        <item x="526"/>
        <item x="523"/>
        <item x="521"/>
        <item x="524"/>
        <item x="522"/>
        <item x="529"/>
        <item x="539"/>
        <item x="544"/>
        <item x="534"/>
        <item x="540"/>
        <item x="536"/>
        <item x="545"/>
        <item x="543"/>
        <item x="538"/>
        <item x="541"/>
        <item x="546"/>
        <item x="547"/>
        <item x="537"/>
        <item x="542"/>
        <item x="535"/>
        <item x="533"/>
        <item x="554"/>
        <item x="549"/>
        <item x="558"/>
        <item x="560"/>
        <item x="555"/>
        <item x="556"/>
        <item x="553"/>
        <item x="551"/>
        <item x="557"/>
        <item x="548"/>
        <item x="559"/>
        <item x="550"/>
        <item x="552"/>
        <item x="567"/>
        <item x="573"/>
        <item x="568"/>
        <item x="562"/>
        <item x="569"/>
        <item x="566"/>
        <item x="563"/>
        <item x="572"/>
        <item x="561"/>
        <item x="565"/>
        <item x="564"/>
        <item x="570"/>
        <item x="571"/>
        <item t="default"/>
      </items>
    </pivotField>
    <pivotField showAll="0">
      <items count="4">
        <item x="2"/>
        <item x="1"/>
        <item x="0"/>
        <item t="default"/>
      </items>
    </pivotField>
    <pivotField showAll="0"/>
    <pivotField showAll="0"/>
    <pivotField showAll="0"/>
    <pivotField showAll="0">
      <items count="11">
        <item x="6"/>
        <item x="5"/>
        <item x="4"/>
        <item x="1"/>
        <item x="3"/>
        <item x="0"/>
        <item x="2"/>
        <item x="9"/>
        <item x="8"/>
        <item x="7"/>
        <item t="default"/>
      </items>
    </pivotField>
    <pivotField showAll="0"/>
    <pivotField showAll="0"/>
    <pivotField showAll="0"/>
    <pivotField numFmtId="165" showAll="0"/>
    <pivotField numFmtId="9" showAll="0"/>
    <pivotField numFmtId="165"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6"/>
  </rowFields>
  <rowItems count="5">
    <i>
      <x v="1"/>
    </i>
    <i>
      <x v="2"/>
    </i>
    <i>
      <x v="3"/>
    </i>
    <i>
      <x v="4"/>
    </i>
    <i t="grand">
      <x/>
    </i>
  </rowItems>
  <colItems count="1">
    <i/>
  </colItems>
  <dataFields count="1">
    <dataField name="Sum of Profit" fld="13" baseField="0" baseItem="0" numFmtId="166"/>
  </dataFields>
  <formats count="1">
    <format dxfId="0">
      <pivotArea outline="0" collapsedLevelsAreSubtotals="1" fieldPosition="0"/>
    </format>
  </formats>
  <chartFormats count="16">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6" count="1" selected="0">
            <x v="1"/>
          </reference>
        </references>
      </pivotArea>
    </chartFormat>
    <chartFormat chart="4" format="3">
      <pivotArea type="data" outline="0" fieldPosition="0">
        <references count="2">
          <reference field="4294967294" count="1" selected="0">
            <x v="0"/>
          </reference>
          <reference field="16" count="1" selected="0">
            <x v="2"/>
          </reference>
        </references>
      </pivotArea>
    </chartFormat>
    <chartFormat chart="4" format="4">
      <pivotArea type="data" outline="0" fieldPosition="0">
        <references count="2">
          <reference field="4294967294" count="1" selected="0">
            <x v="0"/>
          </reference>
          <reference field="16" count="1" selected="0">
            <x v="3"/>
          </reference>
        </references>
      </pivotArea>
    </chartFormat>
    <chartFormat chart="4" format="5">
      <pivotArea type="data" outline="0" fieldPosition="0">
        <references count="2">
          <reference field="4294967294" count="1" selected="0">
            <x v="0"/>
          </reference>
          <reference field="16" count="1" selected="0">
            <x v="4"/>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6" count="1" selected="0">
            <x v="1"/>
          </reference>
        </references>
      </pivotArea>
    </chartFormat>
    <chartFormat chart="5" format="8">
      <pivotArea type="data" outline="0" fieldPosition="0">
        <references count="2">
          <reference field="4294967294" count="1" selected="0">
            <x v="0"/>
          </reference>
          <reference field="16" count="1" selected="0">
            <x v="2"/>
          </reference>
        </references>
      </pivotArea>
    </chartFormat>
    <chartFormat chart="5" format="9">
      <pivotArea type="data" outline="0" fieldPosition="0">
        <references count="2">
          <reference field="4294967294" count="1" selected="0">
            <x v="0"/>
          </reference>
          <reference field="16" count="1" selected="0">
            <x v="3"/>
          </reference>
        </references>
      </pivotArea>
    </chartFormat>
    <chartFormat chart="5" format="10">
      <pivotArea type="data" outline="0" fieldPosition="0">
        <references count="2">
          <reference field="4294967294" count="1" selected="0">
            <x v="0"/>
          </reference>
          <reference field="16" count="1" selected="0">
            <x v="4"/>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16" count="1" selected="0">
            <x v="1"/>
          </reference>
        </references>
      </pivotArea>
    </chartFormat>
    <chartFormat chart="6" format="13">
      <pivotArea type="data" outline="0" fieldPosition="0">
        <references count="2">
          <reference field="4294967294" count="1" selected="0">
            <x v="0"/>
          </reference>
          <reference field="16" count="1" selected="0">
            <x v="2"/>
          </reference>
        </references>
      </pivotArea>
    </chartFormat>
    <chartFormat chart="6" format="14">
      <pivotArea type="data" outline="0" fieldPosition="0">
        <references count="2">
          <reference field="4294967294" count="1" selected="0">
            <x v="0"/>
          </reference>
          <reference field="16" count="1" selected="0">
            <x v="3"/>
          </reference>
        </references>
      </pivotArea>
    </chartFormat>
    <chartFormat chart="6" format="15">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EC76DC-FDD9-40FD-9318-874675635AC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7">
    <pivotField showAll="0"/>
    <pivotField numFmtId="164" showAll="0">
      <items count="575">
        <item x="0"/>
        <item x="5"/>
        <item x="2"/>
        <item x="4"/>
        <item x="7"/>
        <item x="6"/>
        <item x="9"/>
        <item x="8"/>
        <item x="1"/>
        <item x="3"/>
        <item x="16"/>
        <item x="12"/>
        <item x="11"/>
        <item x="17"/>
        <item x="18"/>
        <item x="10"/>
        <item x="14"/>
        <item x="19"/>
        <item x="15"/>
        <item x="13"/>
        <item x="21"/>
        <item x="23"/>
        <item x="28"/>
        <item x="26"/>
        <item x="24"/>
        <item x="25"/>
        <item x="29"/>
        <item x="27"/>
        <item x="20"/>
        <item x="22"/>
        <item x="41"/>
        <item x="37"/>
        <item x="31"/>
        <item x="40"/>
        <item x="36"/>
        <item x="42"/>
        <item x="34"/>
        <item x="38"/>
        <item x="30"/>
        <item x="33"/>
        <item x="32"/>
        <item x="35"/>
        <item x="39"/>
        <item x="58"/>
        <item x="50"/>
        <item x="57"/>
        <item x="48"/>
        <item x="52"/>
        <item x="55"/>
        <item x="46"/>
        <item x="45"/>
        <item x="54"/>
        <item x="51"/>
        <item x="47"/>
        <item x="44"/>
        <item x="49"/>
        <item x="43"/>
        <item x="56"/>
        <item x="53"/>
        <item x="61"/>
        <item x="64"/>
        <item x="63"/>
        <item x="62"/>
        <item x="71"/>
        <item x="68"/>
        <item x="65"/>
        <item x="66"/>
        <item x="60"/>
        <item x="67"/>
        <item x="59"/>
        <item x="69"/>
        <item x="70"/>
        <item x="76"/>
        <item x="79"/>
        <item x="81"/>
        <item x="78"/>
        <item x="77"/>
        <item x="72"/>
        <item x="74"/>
        <item x="73"/>
        <item x="82"/>
        <item x="75"/>
        <item x="83"/>
        <item x="80"/>
        <item x="84"/>
        <item x="89"/>
        <item x="90"/>
        <item x="94"/>
        <item x="88"/>
        <item x="86"/>
        <item x="93"/>
        <item x="87"/>
        <item x="92"/>
        <item x="85"/>
        <item x="91"/>
        <item x="95"/>
        <item x="100"/>
        <item x="104"/>
        <item x="107"/>
        <item x="105"/>
        <item x="96"/>
        <item x="103"/>
        <item x="101"/>
        <item x="99"/>
        <item x="108"/>
        <item x="98"/>
        <item x="106"/>
        <item x="102"/>
        <item x="97"/>
        <item x="110"/>
        <item x="115"/>
        <item x="116"/>
        <item x="113"/>
        <item x="118"/>
        <item x="109"/>
        <item x="114"/>
        <item x="117"/>
        <item x="112"/>
        <item x="111"/>
        <item x="129"/>
        <item x="120"/>
        <item x="123"/>
        <item x="130"/>
        <item x="122"/>
        <item x="128"/>
        <item x="124"/>
        <item x="119"/>
        <item x="127"/>
        <item x="125"/>
        <item x="126"/>
        <item x="121"/>
        <item x="132"/>
        <item x="137"/>
        <item x="140"/>
        <item x="134"/>
        <item x="141"/>
        <item x="135"/>
        <item x="133"/>
        <item x="138"/>
        <item x="142"/>
        <item x="131"/>
        <item x="136"/>
        <item x="139"/>
        <item x="143"/>
        <item x="155"/>
        <item x="146"/>
        <item x="148"/>
        <item x="154"/>
        <item x="151"/>
        <item x="153"/>
        <item x="152"/>
        <item x="145"/>
        <item x="144"/>
        <item x="149"/>
        <item x="150"/>
        <item x="147"/>
        <item x="163"/>
        <item x="159"/>
        <item x="160"/>
        <item x="164"/>
        <item x="165"/>
        <item x="156"/>
        <item x="157"/>
        <item x="161"/>
        <item x="162"/>
        <item x="158"/>
        <item x="175"/>
        <item x="167"/>
        <item x="173"/>
        <item x="168"/>
        <item x="171"/>
        <item x="176"/>
        <item x="169"/>
        <item x="166"/>
        <item x="174"/>
        <item x="170"/>
        <item x="172"/>
        <item x="177"/>
        <item x="184"/>
        <item x="185"/>
        <item x="178"/>
        <item x="179"/>
        <item x="183"/>
        <item x="182"/>
        <item x="181"/>
        <item x="180"/>
        <item x="188"/>
        <item x="189"/>
        <item x="190"/>
        <item x="194"/>
        <item x="192"/>
        <item x="191"/>
        <item x="195"/>
        <item x="193"/>
        <item x="186"/>
        <item x="187"/>
        <item x="205"/>
        <item x="206"/>
        <item x="199"/>
        <item x="207"/>
        <item x="198"/>
        <item x="196"/>
        <item x="197"/>
        <item x="203"/>
        <item x="202"/>
        <item x="204"/>
        <item x="200"/>
        <item x="201"/>
        <item x="221"/>
        <item x="220"/>
        <item x="215"/>
        <item x="211"/>
        <item x="208"/>
        <item x="214"/>
        <item x="219"/>
        <item x="212"/>
        <item x="210"/>
        <item x="213"/>
        <item x="216"/>
        <item x="217"/>
        <item x="218"/>
        <item x="209"/>
        <item x="229"/>
        <item x="233"/>
        <item x="222"/>
        <item x="223"/>
        <item x="232"/>
        <item x="234"/>
        <item x="230"/>
        <item x="225"/>
        <item x="231"/>
        <item x="227"/>
        <item x="228"/>
        <item x="224"/>
        <item x="226"/>
        <item x="238"/>
        <item x="237"/>
        <item x="240"/>
        <item x="239"/>
        <item x="241"/>
        <item x="242"/>
        <item x="243"/>
        <item x="236"/>
        <item x="235"/>
        <item x="253"/>
        <item x="247"/>
        <item x="244"/>
        <item x="252"/>
        <item x="249"/>
        <item x="254"/>
        <item x="245"/>
        <item x="256"/>
        <item x="248"/>
        <item x="251"/>
        <item x="250"/>
        <item x="255"/>
        <item x="246"/>
        <item x="265"/>
        <item x="260"/>
        <item x="258"/>
        <item x="266"/>
        <item x="257"/>
        <item x="261"/>
        <item x="262"/>
        <item x="264"/>
        <item x="267"/>
        <item x="263"/>
        <item x="268"/>
        <item x="259"/>
        <item x="272"/>
        <item x="280"/>
        <item x="270"/>
        <item x="274"/>
        <item x="271"/>
        <item x="279"/>
        <item x="277"/>
        <item x="278"/>
        <item x="276"/>
        <item x="273"/>
        <item x="275"/>
        <item x="269"/>
        <item x="285"/>
        <item x="290"/>
        <item x="282"/>
        <item x="292"/>
        <item x="284"/>
        <item x="283"/>
        <item x="288"/>
        <item x="286"/>
        <item x="289"/>
        <item x="291"/>
        <item x="281"/>
        <item x="287"/>
        <item x="298"/>
        <item x="299"/>
        <item x="296"/>
        <item x="300"/>
        <item x="304"/>
        <item x="294"/>
        <item x="305"/>
        <item x="293"/>
        <item x="301"/>
        <item x="297"/>
        <item x="295"/>
        <item x="306"/>
        <item x="303"/>
        <item x="302"/>
        <item x="313"/>
        <item x="307"/>
        <item x="316"/>
        <item x="314"/>
        <item x="315"/>
        <item x="318"/>
        <item x="309"/>
        <item x="319"/>
        <item x="311"/>
        <item x="317"/>
        <item x="310"/>
        <item x="312"/>
        <item x="308"/>
        <item x="329"/>
        <item x="323"/>
        <item x="328"/>
        <item x="330"/>
        <item x="325"/>
        <item x="326"/>
        <item x="324"/>
        <item x="320"/>
        <item x="327"/>
        <item x="322"/>
        <item x="321"/>
        <item x="335"/>
        <item x="340"/>
        <item x="331"/>
        <item x="342"/>
        <item x="339"/>
        <item x="341"/>
        <item x="333"/>
        <item x="338"/>
        <item x="332"/>
        <item x="337"/>
        <item x="336"/>
        <item x="334"/>
        <item x="354"/>
        <item x="349"/>
        <item x="353"/>
        <item x="352"/>
        <item x="344"/>
        <item x="346"/>
        <item x="348"/>
        <item x="343"/>
        <item x="347"/>
        <item x="345"/>
        <item x="351"/>
        <item x="350"/>
        <item x="356"/>
        <item x="363"/>
        <item x="360"/>
        <item x="358"/>
        <item x="362"/>
        <item x="366"/>
        <item x="364"/>
        <item x="361"/>
        <item x="355"/>
        <item x="359"/>
        <item x="365"/>
        <item x="357"/>
        <item x="372"/>
        <item x="374"/>
        <item x="376"/>
        <item x="367"/>
        <item x="377"/>
        <item x="379"/>
        <item x="368"/>
        <item x="373"/>
        <item x="371"/>
        <item x="370"/>
        <item x="378"/>
        <item x="369"/>
        <item x="375"/>
        <item x="392"/>
        <item x="384"/>
        <item x="386"/>
        <item x="382"/>
        <item x="381"/>
        <item x="390"/>
        <item x="380"/>
        <item x="387"/>
        <item x="389"/>
        <item x="383"/>
        <item x="388"/>
        <item x="391"/>
        <item x="385"/>
        <item x="399"/>
        <item x="403"/>
        <item x="404"/>
        <item x="402"/>
        <item x="396"/>
        <item x="395"/>
        <item x="397"/>
        <item x="398"/>
        <item x="400"/>
        <item x="394"/>
        <item x="401"/>
        <item x="393"/>
        <item x="407"/>
        <item x="408"/>
        <item x="417"/>
        <item x="411"/>
        <item x="412"/>
        <item x="406"/>
        <item x="416"/>
        <item x="410"/>
        <item x="415"/>
        <item x="405"/>
        <item x="413"/>
        <item x="414"/>
        <item x="409"/>
        <item x="419"/>
        <item x="426"/>
        <item x="427"/>
        <item x="418"/>
        <item x="424"/>
        <item x="423"/>
        <item x="422"/>
        <item x="421"/>
        <item x="425"/>
        <item x="420"/>
        <item x="429"/>
        <item x="433"/>
        <item x="438"/>
        <item x="434"/>
        <item x="437"/>
        <item x="436"/>
        <item x="428"/>
        <item x="435"/>
        <item x="439"/>
        <item x="432"/>
        <item x="430"/>
        <item x="431"/>
        <item x="446"/>
        <item x="448"/>
        <item x="447"/>
        <item x="449"/>
        <item x="443"/>
        <item x="445"/>
        <item x="442"/>
        <item x="444"/>
        <item x="440"/>
        <item x="441"/>
        <item x="453"/>
        <item x="454"/>
        <item x="458"/>
        <item x="460"/>
        <item x="451"/>
        <item x="450"/>
        <item x="452"/>
        <item x="455"/>
        <item x="457"/>
        <item x="459"/>
        <item x="456"/>
        <item x="470"/>
        <item x="468"/>
        <item x="469"/>
        <item x="463"/>
        <item x="473"/>
        <item x="464"/>
        <item x="472"/>
        <item x="467"/>
        <item x="466"/>
        <item x="461"/>
        <item x="465"/>
        <item x="462"/>
        <item x="471"/>
        <item x="478"/>
        <item x="483"/>
        <item x="477"/>
        <item x="479"/>
        <item x="481"/>
        <item x="474"/>
        <item x="482"/>
        <item x="475"/>
        <item x="485"/>
        <item x="480"/>
        <item x="484"/>
        <item x="476"/>
        <item x="491"/>
        <item x="490"/>
        <item x="492"/>
        <item x="496"/>
        <item x="495"/>
        <item x="493"/>
        <item x="487"/>
        <item x="486"/>
        <item x="488"/>
        <item x="489"/>
        <item x="494"/>
        <item x="508"/>
        <item x="506"/>
        <item x="497"/>
        <item x="498"/>
        <item x="501"/>
        <item x="507"/>
        <item x="505"/>
        <item x="500"/>
        <item x="503"/>
        <item x="502"/>
        <item x="504"/>
        <item x="499"/>
        <item x="510"/>
        <item x="512"/>
        <item x="518"/>
        <item x="515"/>
        <item x="511"/>
        <item x="513"/>
        <item x="514"/>
        <item x="516"/>
        <item x="509"/>
        <item x="519"/>
        <item x="517"/>
        <item x="525"/>
        <item x="531"/>
        <item x="532"/>
        <item x="530"/>
        <item x="528"/>
        <item x="527"/>
        <item x="520"/>
        <item x="526"/>
        <item x="523"/>
        <item x="521"/>
        <item x="524"/>
        <item x="522"/>
        <item x="529"/>
        <item x="539"/>
        <item x="544"/>
        <item x="534"/>
        <item x="540"/>
        <item x="536"/>
        <item x="545"/>
        <item x="543"/>
        <item x="538"/>
        <item x="541"/>
        <item x="546"/>
        <item x="547"/>
        <item x="537"/>
        <item x="542"/>
        <item x="535"/>
        <item x="533"/>
        <item x="554"/>
        <item x="549"/>
        <item x="558"/>
        <item x="560"/>
        <item x="555"/>
        <item x="556"/>
        <item x="553"/>
        <item x="551"/>
        <item x="557"/>
        <item x="548"/>
        <item x="559"/>
        <item x="550"/>
        <item x="552"/>
        <item x="567"/>
        <item x="573"/>
        <item x="568"/>
        <item x="562"/>
        <item x="569"/>
        <item x="566"/>
        <item x="563"/>
        <item x="572"/>
        <item x="561"/>
        <item x="565"/>
        <item x="564"/>
        <item x="570"/>
        <item x="571"/>
        <item t="default"/>
      </items>
    </pivotField>
    <pivotField showAll="0">
      <items count="4">
        <item x="2"/>
        <item x="1"/>
        <item x="0"/>
        <item t="default"/>
      </items>
    </pivotField>
    <pivotField showAll="0"/>
    <pivotField showAll="0"/>
    <pivotField showAll="0"/>
    <pivotField showAll="0">
      <items count="11">
        <item x="6"/>
        <item x="5"/>
        <item x="4"/>
        <item x="1"/>
        <item x="3"/>
        <item x="0"/>
        <item x="2"/>
        <item x="9"/>
        <item x="8"/>
        <item x="7"/>
        <item t="default"/>
      </items>
    </pivotField>
    <pivotField showAll="0"/>
    <pivotField showAll="0"/>
    <pivotField showAll="0"/>
    <pivotField numFmtId="165" showAll="0"/>
    <pivotField numFmtId="9" showAll="0"/>
    <pivotField numFmtId="165" showAll="0"/>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13" baseField="0" baseItem="0" numFmtId="166"/>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540C79-460B-44CA-983A-2DF6FF74D23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3:G13" firstHeaderRow="1" firstDataRow="1" firstDataCol="1"/>
  <pivotFields count="17">
    <pivotField showAll="0">
      <items count="7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umFmtId="164" showAll="0">
      <items count="575">
        <item x="0"/>
        <item x="5"/>
        <item x="2"/>
        <item x="4"/>
        <item x="7"/>
        <item x="6"/>
        <item x="9"/>
        <item x="8"/>
        <item x="1"/>
        <item x="3"/>
        <item x="16"/>
        <item x="12"/>
        <item x="11"/>
        <item x="17"/>
        <item x="18"/>
        <item x="10"/>
        <item x="14"/>
        <item x="19"/>
        <item x="15"/>
        <item x="13"/>
        <item x="21"/>
        <item x="23"/>
        <item x="28"/>
        <item x="26"/>
        <item x="24"/>
        <item x="25"/>
        <item x="29"/>
        <item x="27"/>
        <item x="20"/>
        <item x="22"/>
        <item x="41"/>
        <item x="37"/>
        <item x="31"/>
        <item x="40"/>
        <item x="36"/>
        <item x="42"/>
        <item x="34"/>
        <item x="38"/>
        <item x="30"/>
        <item x="33"/>
        <item x="32"/>
        <item x="35"/>
        <item x="39"/>
        <item x="58"/>
        <item x="50"/>
        <item x="57"/>
        <item x="48"/>
        <item x="52"/>
        <item x="55"/>
        <item x="46"/>
        <item x="45"/>
        <item x="54"/>
        <item x="51"/>
        <item x="47"/>
        <item x="44"/>
        <item x="49"/>
        <item x="43"/>
        <item x="56"/>
        <item x="53"/>
        <item x="61"/>
        <item x="64"/>
        <item x="63"/>
        <item x="62"/>
        <item x="71"/>
        <item x="68"/>
        <item x="65"/>
        <item x="66"/>
        <item x="60"/>
        <item x="67"/>
        <item x="59"/>
        <item x="69"/>
        <item x="70"/>
        <item x="76"/>
        <item x="79"/>
        <item x="81"/>
        <item x="78"/>
        <item x="77"/>
        <item x="72"/>
        <item x="74"/>
        <item x="73"/>
        <item x="82"/>
        <item x="75"/>
        <item x="83"/>
        <item x="80"/>
        <item x="84"/>
        <item x="89"/>
        <item x="90"/>
        <item x="94"/>
        <item x="88"/>
        <item x="86"/>
        <item x="93"/>
        <item x="87"/>
        <item x="92"/>
        <item x="85"/>
        <item x="91"/>
        <item x="95"/>
        <item x="100"/>
        <item x="104"/>
        <item x="107"/>
        <item x="105"/>
        <item x="96"/>
        <item x="103"/>
        <item x="101"/>
        <item x="99"/>
        <item x="108"/>
        <item x="98"/>
        <item x="106"/>
        <item x="102"/>
        <item x="97"/>
        <item x="110"/>
        <item x="115"/>
        <item x="116"/>
        <item x="113"/>
        <item x="118"/>
        <item x="109"/>
        <item x="114"/>
        <item x="117"/>
        <item x="112"/>
        <item x="111"/>
        <item x="129"/>
        <item x="120"/>
        <item x="123"/>
        <item x="130"/>
        <item x="122"/>
        <item x="128"/>
        <item x="124"/>
        <item x="119"/>
        <item x="127"/>
        <item x="125"/>
        <item x="126"/>
        <item x="121"/>
        <item x="132"/>
        <item x="137"/>
        <item x="140"/>
        <item x="134"/>
        <item x="141"/>
        <item x="135"/>
        <item x="133"/>
        <item x="138"/>
        <item x="142"/>
        <item x="131"/>
        <item x="136"/>
        <item x="139"/>
        <item x="143"/>
        <item x="155"/>
        <item x="146"/>
        <item x="148"/>
        <item x="154"/>
        <item x="151"/>
        <item x="153"/>
        <item x="152"/>
        <item x="145"/>
        <item x="144"/>
        <item x="149"/>
        <item x="150"/>
        <item x="147"/>
        <item x="163"/>
        <item x="159"/>
        <item x="160"/>
        <item x="164"/>
        <item x="165"/>
        <item x="156"/>
        <item x="157"/>
        <item x="161"/>
        <item x="162"/>
        <item x="158"/>
        <item x="175"/>
        <item x="167"/>
        <item x="173"/>
        <item x="168"/>
        <item x="171"/>
        <item x="176"/>
        <item x="169"/>
        <item x="166"/>
        <item x="174"/>
        <item x="170"/>
        <item x="172"/>
        <item x="177"/>
        <item x="184"/>
        <item x="185"/>
        <item x="178"/>
        <item x="179"/>
        <item x="183"/>
        <item x="182"/>
        <item x="181"/>
        <item x="180"/>
        <item x="188"/>
        <item x="189"/>
        <item x="190"/>
        <item x="194"/>
        <item x="192"/>
        <item x="191"/>
        <item x="195"/>
        <item x="193"/>
        <item x="186"/>
        <item x="187"/>
        <item x="205"/>
        <item x="206"/>
        <item x="199"/>
        <item x="207"/>
        <item x="198"/>
        <item x="196"/>
        <item x="197"/>
        <item x="203"/>
        <item x="202"/>
        <item x="204"/>
        <item x="200"/>
        <item x="201"/>
        <item x="221"/>
        <item x="220"/>
        <item x="215"/>
        <item x="211"/>
        <item x="208"/>
        <item x="214"/>
        <item x="219"/>
        <item x="212"/>
        <item x="210"/>
        <item x="213"/>
        <item x="216"/>
        <item x="217"/>
        <item x="218"/>
        <item x="209"/>
        <item x="229"/>
        <item x="233"/>
        <item x="222"/>
        <item x="223"/>
        <item x="232"/>
        <item x="234"/>
        <item x="230"/>
        <item x="225"/>
        <item x="231"/>
        <item x="227"/>
        <item x="228"/>
        <item x="224"/>
        <item x="226"/>
        <item x="238"/>
        <item x="237"/>
        <item x="240"/>
        <item x="239"/>
        <item x="241"/>
        <item x="242"/>
        <item x="243"/>
        <item x="236"/>
        <item x="235"/>
        <item x="253"/>
        <item x="247"/>
        <item x="244"/>
        <item x="252"/>
        <item x="249"/>
        <item x="254"/>
        <item x="245"/>
        <item x="256"/>
        <item x="248"/>
        <item x="251"/>
        <item x="250"/>
        <item x="255"/>
        <item x="246"/>
        <item x="265"/>
        <item x="260"/>
        <item x="258"/>
        <item x="266"/>
        <item x="257"/>
        <item x="261"/>
        <item x="262"/>
        <item x="264"/>
        <item x="267"/>
        <item x="263"/>
        <item x="268"/>
        <item x="259"/>
        <item x="272"/>
        <item x="280"/>
        <item x="270"/>
        <item x="274"/>
        <item x="271"/>
        <item x="279"/>
        <item x="277"/>
        <item x="278"/>
        <item x="276"/>
        <item x="273"/>
        <item x="275"/>
        <item x="269"/>
        <item x="285"/>
        <item x="290"/>
        <item x="282"/>
        <item x="292"/>
        <item x="284"/>
        <item x="283"/>
        <item x="288"/>
        <item x="286"/>
        <item x="289"/>
        <item x="291"/>
        <item x="281"/>
        <item x="287"/>
        <item x="298"/>
        <item x="299"/>
        <item x="296"/>
        <item x="300"/>
        <item x="304"/>
        <item x="294"/>
        <item x="305"/>
        <item x="293"/>
        <item x="301"/>
        <item x="297"/>
        <item x="295"/>
        <item x="306"/>
        <item x="303"/>
        <item x="302"/>
        <item x="313"/>
        <item x="307"/>
        <item x="316"/>
        <item x="314"/>
        <item x="315"/>
        <item x="318"/>
        <item x="309"/>
        <item x="319"/>
        <item x="311"/>
        <item x="317"/>
        <item x="310"/>
        <item x="312"/>
        <item x="308"/>
        <item x="329"/>
        <item x="323"/>
        <item x="328"/>
        <item x="330"/>
        <item x="325"/>
        <item x="326"/>
        <item x="324"/>
        <item x="320"/>
        <item x="327"/>
        <item x="322"/>
        <item x="321"/>
        <item x="335"/>
        <item x="340"/>
        <item x="331"/>
        <item x="342"/>
        <item x="339"/>
        <item x="341"/>
        <item x="333"/>
        <item x="338"/>
        <item x="332"/>
        <item x="337"/>
        <item x="336"/>
        <item x="334"/>
        <item x="354"/>
        <item x="349"/>
        <item x="353"/>
        <item x="352"/>
        <item x="344"/>
        <item x="346"/>
        <item x="348"/>
        <item x="343"/>
        <item x="347"/>
        <item x="345"/>
        <item x="351"/>
        <item x="350"/>
        <item x="356"/>
        <item x="363"/>
        <item x="360"/>
        <item x="358"/>
        <item x="362"/>
        <item x="366"/>
        <item x="364"/>
        <item x="361"/>
        <item x="355"/>
        <item x="359"/>
        <item x="365"/>
        <item x="357"/>
        <item x="372"/>
        <item x="374"/>
        <item x="376"/>
        <item x="367"/>
        <item x="377"/>
        <item x="379"/>
        <item x="368"/>
        <item x="373"/>
        <item x="371"/>
        <item x="370"/>
        <item x="378"/>
        <item x="369"/>
        <item x="375"/>
        <item x="392"/>
        <item x="384"/>
        <item x="386"/>
        <item x="382"/>
        <item x="381"/>
        <item x="390"/>
        <item x="380"/>
        <item x="387"/>
        <item x="389"/>
        <item x="383"/>
        <item x="388"/>
        <item x="391"/>
        <item x="385"/>
        <item x="399"/>
        <item x="403"/>
        <item x="404"/>
        <item x="402"/>
        <item x="396"/>
        <item x="395"/>
        <item x="397"/>
        <item x="398"/>
        <item x="400"/>
        <item x="394"/>
        <item x="401"/>
        <item x="393"/>
        <item x="407"/>
        <item x="408"/>
        <item x="417"/>
        <item x="411"/>
        <item x="412"/>
        <item x="406"/>
        <item x="416"/>
        <item x="410"/>
        <item x="415"/>
        <item x="405"/>
        <item x="413"/>
        <item x="414"/>
        <item x="409"/>
        <item x="419"/>
        <item x="426"/>
        <item x="427"/>
        <item x="418"/>
        <item x="424"/>
        <item x="423"/>
        <item x="422"/>
        <item x="421"/>
        <item x="425"/>
        <item x="420"/>
        <item x="429"/>
        <item x="433"/>
        <item x="438"/>
        <item x="434"/>
        <item x="437"/>
        <item x="436"/>
        <item x="428"/>
        <item x="435"/>
        <item x="439"/>
        <item x="432"/>
        <item x="430"/>
        <item x="431"/>
        <item x="446"/>
        <item x="448"/>
        <item x="447"/>
        <item x="449"/>
        <item x="443"/>
        <item x="445"/>
        <item x="442"/>
        <item x="444"/>
        <item x="440"/>
        <item x="441"/>
        <item x="453"/>
        <item x="454"/>
        <item x="458"/>
        <item x="460"/>
        <item x="451"/>
        <item x="450"/>
        <item x="452"/>
        <item x="455"/>
        <item x="457"/>
        <item x="459"/>
        <item x="456"/>
        <item x="470"/>
        <item x="468"/>
        <item x="469"/>
        <item x="463"/>
        <item x="473"/>
        <item x="464"/>
        <item x="472"/>
        <item x="467"/>
        <item x="466"/>
        <item x="461"/>
        <item x="465"/>
        <item x="462"/>
        <item x="471"/>
        <item x="478"/>
        <item x="483"/>
        <item x="477"/>
        <item x="479"/>
        <item x="481"/>
        <item x="474"/>
        <item x="482"/>
        <item x="475"/>
        <item x="485"/>
        <item x="480"/>
        <item x="484"/>
        <item x="476"/>
        <item x="491"/>
        <item x="490"/>
        <item x="492"/>
        <item x="496"/>
        <item x="495"/>
        <item x="493"/>
        <item x="487"/>
        <item x="486"/>
        <item x="488"/>
        <item x="489"/>
        <item x="494"/>
        <item x="508"/>
        <item x="506"/>
        <item x="497"/>
        <item x="498"/>
        <item x="501"/>
        <item x="507"/>
        <item x="505"/>
        <item x="500"/>
        <item x="503"/>
        <item x="502"/>
        <item x="504"/>
        <item x="499"/>
        <item x="510"/>
        <item x="512"/>
        <item x="518"/>
        <item x="515"/>
        <item x="511"/>
        <item x="513"/>
        <item x="514"/>
        <item x="516"/>
        <item x="509"/>
        <item x="519"/>
        <item x="517"/>
        <item x="525"/>
        <item x="531"/>
        <item x="532"/>
        <item x="530"/>
        <item x="528"/>
        <item x="527"/>
        <item x="520"/>
        <item x="526"/>
        <item x="523"/>
        <item x="521"/>
        <item x="524"/>
        <item x="522"/>
        <item x="529"/>
        <item x="539"/>
        <item x="544"/>
        <item x="534"/>
        <item x="540"/>
        <item x="536"/>
        <item x="545"/>
        <item x="543"/>
        <item x="538"/>
        <item x="541"/>
        <item x="546"/>
        <item x="547"/>
        <item x="537"/>
        <item x="542"/>
        <item x="535"/>
        <item x="533"/>
        <item x="554"/>
        <item x="549"/>
        <item x="558"/>
        <item x="560"/>
        <item x="555"/>
        <item x="556"/>
        <item x="553"/>
        <item x="551"/>
        <item x="557"/>
        <item x="548"/>
        <item x="559"/>
        <item x="550"/>
        <item x="552"/>
        <item x="567"/>
        <item x="573"/>
        <item x="568"/>
        <item x="562"/>
        <item x="569"/>
        <item x="566"/>
        <item x="563"/>
        <item x="572"/>
        <item x="561"/>
        <item x="565"/>
        <item x="564"/>
        <item x="570"/>
        <item x="571"/>
        <item t="default"/>
      </items>
    </pivotField>
    <pivotField showAll="0">
      <items count="4">
        <item x="2"/>
        <item x="1"/>
        <item x="0"/>
        <item t="default"/>
      </items>
    </pivotField>
    <pivotField axis="axisRow" showAll="0" sortType="descending">
      <items count="10">
        <item x="0"/>
        <item x="4"/>
        <item x="5"/>
        <item x="8"/>
        <item x="1"/>
        <item x="7"/>
        <item x="2"/>
        <item x="3"/>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6"/>
        <item x="5"/>
        <item x="4"/>
        <item x="1"/>
        <item x="3"/>
        <item x="0"/>
        <item x="2"/>
        <item x="9"/>
        <item x="8"/>
        <item x="7"/>
        <item t="default"/>
      </items>
    </pivotField>
    <pivotField showAll="0"/>
    <pivotField showAll="0"/>
    <pivotField showAll="0"/>
    <pivotField numFmtId="165" showAll="0"/>
    <pivotField numFmtId="9" showAll="0"/>
    <pivotField dataField="1" numFmtId="165"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10">
    <i>
      <x v="4"/>
    </i>
    <i>
      <x v="3"/>
    </i>
    <i>
      <x v="8"/>
    </i>
    <i>
      <x v="5"/>
    </i>
    <i>
      <x v="2"/>
    </i>
    <i>
      <x/>
    </i>
    <i>
      <x v="7"/>
    </i>
    <i>
      <x v="6"/>
    </i>
    <i>
      <x v="1"/>
    </i>
    <i t="grand">
      <x/>
    </i>
  </rowItems>
  <colItems count="1">
    <i/>
  </colItems>
  <dataFields count="1">
    <dataField name="Sum of Sales" fld="12" baseField="0" baseItem="0" numFmtId="166"/>
  </dataFields>
  <formats count="1">
    <format dxfId="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96DC3B-AA15-4518-8C52-9E308B8272E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numFmtId="164" showAll="0">
      <items count="575">
        <item x="0"/>
        <item x="5"/>
        <item x="2"/>
        <item x="4"/>
        <item x="7"/>
        <item x="6"/>
        <item x="9"/>
        <item x="8"/>
        <item x="1"/>
        <item x="3"/>
        <item x="16"/>
        <item x="12"/>
        <item x="11"/>
        <item x="17"/>
        <item x="18"/>
        <item x="10"/>
        <item x="14"/>
        <item x="19"/>
        <item x="15"/>
        <item x="13"/>
        <item x="21"/>
        <item x="23"/>
        <item x="28"/>
        <item x="26"/>
        <item x="24"/>
        <item x="25"/>
        <item x="29"/>
        <item x="27"/>
        <item x="20"/>
        <item x="22"/>
        <item x="41"/>
        <item x="37"/>
        <item x="31"/>
        <item x="40"/>
        <item x="36"/>
        <item x="42"/>
        <item x="34"/>
        <item x="38"/>
        <item x="30"/>
        <item x="33"/>
        <item x="32"/>
        <item x="35"/>
        <item x="39"/>
        <item x="58"/>
        <item x="50"/>
        <item x="57"/>
        <item x="48"/>
        <item x="52"/>
        <item x="55"/>
        <item x="46"/>
        <item x="45"/>
        <item x="54"/>
        <item x="51"/>
        <item x="47"/>
        <item x="44"/>
        <item x="49"/>
        <item x="43"/>
        <item x="56"/>
        <item x="53"/>
        <item x="61"/>
        <item x="64"/>
        <item x="63"/>
        <item x="62"/>
        <item x="71"/>
        <item x="68"/>
        <item x="65"/>
        <item x="66"/>
        <item x="60"/>
        <item x="67"/>
        <item x="59"/>
        <item x="69"/>
        <item x="70"/>
        <item x="76"/>
        <item x="79"/>
        <item x="81"/>
        <item x="78"/>
        <item x="77"/>
        <item x="72"/>
        <item x="74"/>
        <item x="73"/>
        <item x="82"/>
        <item x="75"/>
        <item x="83"/>
        <item x="80"/>
        <item x="84"/>
        <item x="89"/>
        <item x="90"/>
        <item x="94"/>
        <item x="88"/>
        <item x="86"/>
        <item x="93"/>
        <item x="87"/>
        <item x="92"/>
        <item x="85"/>
        <item x="91"/>
        <item x="95"/>
        <item x="100"/>
        <item x="104"/>
        <item x="107"/>
        <item x="105"/>
        <item x="96"/>
        <item x="103"/>
        <item x="101"/>
        <item x="99"/>
        <item x="108"/>
        <item x="98"/>
        <item x="106"/>
        <item x="102"/>
        <item x="97"/>
        <item x="110"/>
        <item x="115"/>
        <item x="116"/>
        <item x="113"/>
        <item x="118"/>
        <item x="109"/>
        <item x="114"/>
        <item x="117"/>
        <item x="112"/>
        <item x="111"/>
        <item x="129"/>
        <item x="120"/>
        <item x="123"/>
        <item x="130"/>
        <item x="122"/>
        <item x="128"/>
        <item x="124"/>
        <item x="119"/>
        <item x="127"/>
        <item x="125"/>
        <item x="126"/>
        <item x="121"/>
        <item x="132"/>
        <item x="137"/>
        <item x="140"/>
        <item x="134"/>
        <item x="141"/>
        <item x="135"/>
        <item x="133"/>
        <item x="138"/>
        <item x="142"/>
        <item x="131"/>
        <item x="136"/>
        <item x="139"/>
        <item x="143"/>
        <item x="155"/>
        <item x="146"/>
        <item x="148"/>
        <item x="154"/>
        <item x="151"/>
        <item x="153"/>
        <item x="152"/>
        <item x="145"/>
        <item x="144"/>
        <item x="149"/>
        <item x="150"/>
        <item x="147"/>
        <item x="163"/>
        <item x="159"/>
        <item x="160"/>
        <item x="164"/>
        <item x="165"/>
        <item x="156"/>
        <item x="157"/>
        <item x="161"/>
        <item x="162"/>
        <item x="158"/>
        <item x="175"/>
        <item x="167"/>
        <item x="173"/>
        <item x="168"/>
        <item x="171"/>
        <item x="176"/>
        <item x="169"/>
        <item x="166"/>
        <item x="174"/>
        <item x="170"/>
        <item x="172"/>
        <item x="177"/>
        <item x="184"/>
        <item x="185"/>
        <item x="178"/>
        <item x="179"/>
        <item x="183"/>
        <item x="182"/>
        <item x="181"/>
        <item x="180"/>
        <item x="188"/>
        <item x="189"/>
        <item x="190"/>
        <item x="194"/>
        <item x="192"/>
        <item x="191"/>
        <item x="195"/>
        <item x="193"/>
        <item x="186"/>
        <item x="187"/>
        <item x="205"/>
        <item x="206"/>
        <item x="199"/>
        <item x="207"/>
        <item x="198"/>
        <item x="196"/>
        <item x="197"/>
        <item x="203"/>
        <item x="202"/>
        <item x="204"/>
        <item x="200"/>
        <item x="201"/>
        <item x="221"/>
        <item x="220"/>
        <item x="215"/>
        <item x="211"/>
        <item x="208"/>
        <item x="214"/>
        <item x="219"/>
        <item x="212"/>
        <item x="210"/>
        <item x="213"/>
        <item x="216"/>
        <item x="217"/>
        <item x="218"/>
        <item x="209"/>
        <item x="229"/>
        <item x="233"/>
        <item x="222"/>
        <item x="223"/>
        <item x="232"/>
        <item x="234"/>
        <item x="230"/>
        <item x="225"/>
        <item x="231"/>
        <item x="227"/>
        <item x="228"/>
        <item x="224"/>
        <item x="226"/>
        <item x="238"/>
        <item x="237"/>
        <item x="240"/>
        <item x="239"/>
        <item x="241"/>
        <item x="242"/>
        <item x="243"/>
        <item x="236"/>
        <item x="235"/>
        <item x="253"/>
        <item x="247"/>
        <item x="244"/>
        <item x="252"/>
        <item x="249"/>
        <item x="254"/>
        <item x="245"/>
        <item x="256"/>
        <item x="248"/>
        <item x="251"/>
        <item x="250"/>
        <item x="255"/>
        <item x="246"/>
        <item x="265"/>
        <item x="260"/>
        <item x="258"/>
        <item x="266"/>
        <item x="257"/>
        <item x="261"/>
        <item x="262"/>
        <item x="264"/>
        <item x="267"/>
        <item x="263"/>
        <item x="268"/>
        <item x="259"/>
        <item x="272"/>
        <item x="280"/>
        <item x="270"/>
        <item x="274"/>
        <item x="271"/>
        <item x="279"/>
        <item x="277"/>
        <item x="278"/>
        <item x="276"/>
        <item x="273"/>
        <item x="275"/>
        <item x="269"/>
        <item x="285"/>
        <item x="290"/>
        <item x="282"/>
        <item x="292"/>
        <item x="284"/>
        <item x="283"/>
        <item x="288"/>
        <item x="286"/>
        <item x="289"/>
        <item x="291"/>
        <item x="281"/>
        <item x="287"/>
        <item x="298"/>
        <item x="299"/>
        <item x="296"/>
        <item x="300"/>
        <item x="304"/>
        <item x="294"/>
        <item x="305"/>
        <item x="293"/>
        <item x="301"/>
        <item x="297"/>
        <item x="295"/>
        <item x="306"/>
        <item x="303"/>
        <item x="302"/>
        <item x="313"/>
        <item x="307"/>
        <item x="316"/>
        <item x="314"/>
        <item x="315"/>
        <item x="318"/>
        <item x="309"/>
        <item x="319"/>
        <item x="311"/>
        <item x="317"/>
        <item x="310"/>
        <item x="312"/>
        <item x="308"/>
        <item x="329"/>
        <item x="323"/>
        <item x="328"/>
        <item x="330"/>
        <item x="325"/>
        <item x="326"/>
        <item x="324"/>
        <item x="320"/>
        <item x="327"/>
        <item x="322"/>
        <item x="321"/>
        <item x="335"/>
        <item x="340"/>
        <item x="331"/>
        <item x="342"/>
        <item x="339"/>
        <item x="341"/>
        <item x="333"/>
        <item x="338"/>
        <item x="332"/>
        <item x="337"/>
        <item x="336"/>
        <item x="334"/>
        <item x="354"/>
        <item x="349"/>
        <item x="353"/>
        <item x="352"/>
        <item x="344"/>
        <item x="346"/>
        <item x="348"/>
        <item x="343"/>
        <item x="347"/>
        <item x="345"/>
        <item x="351"/>
        <item x="350"/>
        <item x="356"/>
        <item x="363"/>
        <item x="360"/>
        <item x="358"/>
        <item x="362"/>
        <item x="366"/>
        <item x="364"/>
        <item x="361"/>
        <item x="355"/>
        <item x="359"/>
        <item x="365"/>
        <item x="357"/>
        <item x="372"/>
        <item x="374"/>
        <item x="376"/>
        <item x="367"/>
        <item x="377"/>
        <item x="379"/>
        <item x="368"/>
        <item x="373"/>
        <item x="371"/>
        <item x="370"/>
        <item x="378"/>
        <item x="369"/>
        <item x="375"/>
        <item x="392"/>
        <item x="384"/>
        <item x="386"/>
        <item x="382"/>
        <item x="381"/>
        <item x="390"/>
        <item x="380"/>
        <item x="387"/>
        <item x="389"/>
        <item x="383"/>
        <item x="388"/>
        <item x="391"/>
        <item x="385"/>
        <item x="399"/>
        <item x="403"/>
        <item x="404"/>
        <item x="402"/>
        <item x="396"/>
        <item x="395"/>
        <item x="397"/>
        <item x="398"/>
        <item x="400"/>
        <item x="394"/>
        <item x="401"/>
        <item x="393"/>
        <item x="407"/>
        <item x="408"/>
        <item x="417"/>
        <item x="411"/>
        <item x="412"/>
        <item x="406"/>
        <item x="416"/>
        <item x="410"/>
        <item x="415"/>
        <item x="405"/>
        <item x="413"/>
        <item x="414"/>
        <item x="409"/>
        <item x="419"/>
        <item x="426"/>
        <item x="427"/>
        <item x="418"/>
        <item x="424"/>
        <item x="423"/>
        <item x="422"/>
        <item x="421"/>
        <item x="425"/>
        <item x="420"/>
        <item x="429"/>
        <item x="433"/>
        <item x="438"/>
        <item x="434"/>
        <item x="437"/>
        <item x="436"/>
        <item x="428"/>
        <item x="435"/>
        <item x="439"/>
        <item x="432"/>
        <item x="430"/>
        <item x="431"/>
        <item x="446"/>
        <item x="448"/>
        <item x="447"/>
        <item x="449"/>
        <item x="443"/>
        <item x="445"/>
        <item x="442"/>
        <item x="444"/>
        <item x="440"/>
        <item x="441"/>
        <item x="453"/>
        <item x="454"/>
        <item x="458"/>
        <item x="460"/>
        <item x="451"/>
        <item x="450"/>
        <item x="452"/>
        <item x="455"/>
        <item x="457"/>
        <item x="459"/>
        <item x="456"/>
        <item x="470"/>
        <item x="468"/>
        <item x="469"/>
        <item x="463"/>
        <item x="473"/>
        <item x="464"/>
        <item x="472"/>
        <item x="467"/>
        <item x="466"/>
        <item x="461"/>
        <item x="465"/>
        <item x="462"/>
        <item x="471"/>
        <item x="478"/>
        <item x="483"/>
        <item x="477"/>
        <item x="479"/>
        <item x="481"/>
        <item x="474"/>
        <item x="482"/>
        <item x="475"/>
        <item x="485"/>
        <item x="480"/>
        <item x="484"/>
        <item x="476"/>
        <item x="491"/>
        <item x="490"/>
        <item x="492"/>
        <item x="496"/>
        <item x="495"/>
        <item x="493"/>
        <item x="487"/>
        <item x="486"/>
        <item x="488"/>
        <item x="489"/>
        <item x="494"/>
        <item x="508"/>
        <item x="506"/>
        <item x="497"/>
        <item x="498"/>
        <item x="501"/>
        <item x="507"/>
        <item x="505"/>
        <item x="500"/>
        <item x="503"/>
        <item x="502"/>
        <item x="504"/>
        <item x="499"/>
        <item x="510"/>
        <item x="512"/>
        <item x="518"/>
        <item x="515"/>
        <item x="511"/>
        <item x="513"/>
        <item x="514"/>
        <item x="516"/>
        <item x="509"/>
        <item x="519"/>
        <item x="517"/>
        <item x="525"/>
        <item x="531"/>
        <item x="532"/>
        <item x="530"/>
        <item x="528"/>
        <item x="527"/>
        <item x="520"/>
        <item x="526"/>
        <item x="523"/>
        <item x="521"/>
        <item x="524"/>
        <item x="522"/>
        <item x="529"/>
        <item x="539"/>
        <item x="544"/>
        <item x="534"/>
        <item x="540"/>
        <item x="536"/>
        <item x="545"/>
        <item x="543"/>
        <item x="538"/>
        <item x="541"/>
        <item x="546"/>
        <item x="547"/>
        <item x="537"/>
        <item x="542"/>
        <item x="535"/>
        <item x="533"/>
        <item x="554"/>
        <item x="549"/>
        <item x="558"/>
        <item x="560"/>
        <item x="555"/>
        <item x="556"/>
        <item x="553"/>
        <item x="551"/>
        <item x="557"/>
        <item x="548"/>
        <item x="559"/>
        <item x="550"/>
        <item x="552"/>
        <item x="567"/>
        <item x="573"/>
        <item x="568"/>
        <item x="562"/>
        <item x="569"/>
        <item x="566"/>
        <item x="563"/>
        <item x="572"/>
        <item x="561"/>
        <item x="565"/>
        <item x="564"/>
        <item x="570"/>
        <item x="571"/>
        <item t="default"/>
      </items>
    </pivotField>
    <pivotField showAll="0">
      <items count="4">
        <item x="2"/>
        <item x="1"/>
        <item x="0"/>
        <item t="default"/>
      </items>
    </pivotField>
    <pivotField showAll="0"/>
    <pivotField showAll="0"/>
    <pivotField showAll="0"/>
    <pivotField showAll="0">
      <items count="11">
        <item x="6"/>
        <item x="5"/>
        <item x="4"/>
        <item x="1"/>
        <item x="3"/>
        <item x="0"/>
        <item x="2"/>
        <item x="9"/>
        <item x="8"/>
        <item x="7"/>
        <item t="default"/>
      </items>
    </pivotField>
    <pivotField showAll="0"/>
    <pivotField showAll="0"/>
    <pivotField showAll="0"/>
    <pivotField numFmtId="165" showAll="0"/>
    <pivotField numFmtId="9" showAll="0"/>
    <pivotField dataField="1" numFmtId="165"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2" baseField="0" baseItem="0" numFmtId="166"/>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29B6FD-A126-4EC9-AB59-A2D59A92882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3:P16" firstHeaderRow="1" firstDataRow="1" firstDataCol="1"/>
  <pivotFields count="17">
    <pivotField showAll="0">
      <items count="7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umFmtId="164" showAll="0">
      <items count="575">
        <item x="0"/>
        <item x="5"/>
        <item x="2"/>
        <item x="4"/>
        <item x="7"/>
        <item x="6"/>
        <item x="9"/>
        <item x="8"/>
        <item x="1"/>
        <item x="3"/>
        <item x="16"/>
        <item x="12"/>
        <item x="11"/>
        <item x="17"/>
        <item x="18"/>
        <item x="10"/>
        <item x="14"/>
        <item x="19"/>
        <item x="15"/>
        <item x="13"/>
        <item x="21"/>
        <item x="23"/>
        <item x="28"/>
        <item x="26"/>
        <item x="24"/>
        <item x="25"/>
        <item x="29"/>
        <item x="27"/>
        <item x="20"/>
        <item x="22"/>
        <item x="41"/>
        <item x="37"/>
        <item x="31"/>
        <item x="40"/>
        <item x="36"/>
        <item x="42"/>
        <item x="34"/>
        <item x="38"/>
        <item x="30"/>
        <item x="33"/>
        <item x="32"/>
        <item x="35"/>
        <item x="39"/>
        <item x="58"/>
        <item x="50"/>
        <item x="57"/>
        <item x="48"/>
        <item x="52"/>
        <item x="55"/>
        <item x="46"/>
        <item x="45"/>
        <item x="54"/>
        <item x="51"/>
        <item x="47"/>
        <item x="44"/>
        <item x="49"/>
        <item x="43"/>
        <item x="56"/>
        <item x="53"/>
        <item x="61"/>
        <item x="64"/>
        <item x="63"/>
        <item x="62"/>
        <item x="71"/>
        <item x="68"/>
        <item x="65"/>
        <item x="66"/>
        <item x="60"/>
        <item x="67"/>
        <item x="59"/>
        <item x="69"/>
        <item x="70"/>
        <item x="76"/>
        <item x="79"/>
        <item x="81"/>
        <item x="78"/>
        <item x="77"/>
        <item x="72"/>
        <item x="74"/>
        <item x="73"/>
        <item x="82"/>
        <item x="75"/>
        <item x="83"/>
        <item x="80"/>
        <item x="84"/>
        <item x="89"/>
        <item x="90"/>
        <item x="94"/>
        <item x="88"/>
        <item x="86"/>
        <item x="93"/>
        <item x="87"/>
        <item x="92"/>
        <item x="85"/>
        <item x="91"/>
        <item x="95"/>
        <item x="100"/>
        <item x="104"/>
        <item x="107"/>
        <item x="105"/>
        <item x="96"/>
        <item x="103"/>
        <item x="101"/>
        <item x="99"/>
        <item x="108"/>
        <item x="98"/>
        <item x="106"/>
        <item x="102"/>
        <item x="97"/>
        <item x="110"/>
        <item x="115"/>
        <item x="116"/>
        <item x="113"/>
        <item x="118"/>
        <item x="109"/>
        <item x="114"/>
        <item x="117"/>
        <item x="112"/>
        <item x="111"/>
        <item x="129"/>
        <item x="120"/>
        <item x="123"/>
        <item x="130"/>
        <item x="122"/>
        <item x="128"/>
        <item x="124"/>
        <item x="119"/>
        <item x="127"/>
        <item x="125"/>
        <item x="126"/>
        <item x="121"/>
        <item x="132"/>
        <item x="137"/>
        <item x="140"/>
        <item x="134"/>
        <item x="141"/>
        <item x="135"/>
        <item x="133"/>
        <item x="138"/>
        <item x="142"/>
        <item x="131"/>
        <item x="136"/>
        <item x="139"/>
        <item x="143"/>
        <item x="155"/>
        <item x="146"/>
        <item x="148"/>
        <item x="154"/>
        <item x="151"/>
        <item x="153"/>
        <item x="152"/>
        <item x="145"/>
        <item x="144"/>
        <item x="149"/>
        <item x="150"/>
        <item x="147"/>
        <item x="163"/>
        <item x="159"/>
        <item x="160"/>
        <item x="164"/>
        <item x="165"/>
        <item x="156"/>
        <item x="157"/>
        <item x="161"/>
        <item x="162"/>
        <item x="158"/>
        <item x="175"/>
        <item x="167"/>
        <item x="173"/>
        <item x="168"/>
        <item x="171"/>
        <item x="176"/>
        <item x="169"/>
        <item x="166"/>
        <item x="174"/>
        <item x="170"/>
        <item x="172"/>
        <item x="177"/>
        <item x="184"/>
        <item x="185"/>
        <item x="178"/>
        <item x="179"/>
        <item x="183"/>
        <item x="182"/>
        <item x="181"/>
        <item x="180"/>
        <item x="188"/>
        <item x="189"/>
        <item x="190"/>
        <item x="194"/>
        <item x="192"/>
        <item x="191"/>
        <item x="195"/>
        <item x="193"/>
        <item x="186"/>
        <item x="187"/>
        <item x="205"/>
        <item x="206"/>
        <item x="199"/>
        <item x="207"/>
        <item x="198"/>
        <item x="196"/>
        <item x="197"/>
        <item x="203"/>
        <item x="202"/>
        <item x="204"/>
        <item x="200"/>
        <item x="201"/>
        <item x="221"/>
        <item x="220"/>
        <item x="215"/>
        <item x="211"/>
        <item x="208"/>
        <item x="214"/>
        <item x="219"/>
        <item x="212"/>
        <item x="210"/>
        <item x="213"/>
        <item x="216"/>
        <item x="217"/>
        <item x="218"/>
        <item x="209"/>
        <item x="229"/>
        <item x="233"/>
        <item x="222"/>
        <item x="223"/>
        <item x="232"/>
        <item x="234"/>
        <item x="230"/>
        <item x="225"/>
        <item x="231"/>
        <item x="227"/>
        <item x="228"/>
        <item x="224"/>
        <item x="226"/>
        <item x="238"/>
        <item x="237"/>
        <item x="240"/>
        <item x="239"/>
        <item x="241"/>
        <item x="242"/>
        <item x="243"/>
        <item x="236"/>
        <item x="235"/>
        <item x="253"/>
        <item x="247"/>
        <item x="244"/>
        <item x="252"/>
        <item x="249"/>
        <item x="254"/>
        <item x="245"/>
        <item x="256"/>
        <item x="248"/>
        <item x="251"/>
        <item x="250"/>
        <item x="255"/>
        <item x="246"/>
        <item x="265"/>
        <item x="260"/>
        <item x="258"/>
        <item x="266"/>
        <item x="257"/>
        <item x="261"/>
        <item x="262"/>
        <item x="264"/>
        <item x="267"/>
        <item x="263"/>
        <item x="268"/>
        <item x="259"/>
        <item x="272"/>
        <item x="280"/>
        <item x="270"/>
        <item x="274"/>
        <item x="271"/>
        <item x="279"/>
        <item x="277"/>
        <item x="278"/>
        <item x="276"/>
        <item x="273"/>
        <item x="275"/>
        <item x="269"/>
        <item x="285"/>
        <item x="290"/>
        <item x="282"/>
        <item x="292"/>
        <item x="284"/>
        <item x="283"/>
        <item x="288"/>
        <item x="286"/>
        <item x="289"/>
        <item x="291"/>
        <item x="281"/>
        <item x="287"/>
        <item x="298"/>
        <item x="299"/>
        <item x="296"/>
        <item x="300"/>
        <item x="304"/>
        <item x="294"/>
        <item x="305"/>
        <item x="293"/>
        <item x="301"/>
        <item x="297"/>
        <item x="295"/>
        <item x="306"/>
        <item x="303"/>
        <item x="302"/>
        <item x="313"/>
        <item x="307"/>
        <item x="316"/>
        <item x="314"/>
        <item x="315"/>
        <item x="318"/>
        <item x="309"/>
        <item x="319"/>
        <item x="311"/>
        <item x="317"/>
        <item x="310"/>
        <item x="312"/>
        <item x="308"/>
        <item x="329"/>
        <item x="323"/>
        <item x="328"/>
        <item x="330"/>
        <item x="325"/>
        <item x="326"/>
        <item x="324"/>
        <item x="320"/>
        <item x="327"/>
        <item x="322"/>
        <item x="321"/>
        <item x="335"/>
        <item x="340"/>
        <item x="331"/>
        <item x="342"/>
        <item x="339"/>
        <item x="341"/>
        <item x="333"/>
        <item x="338"/>
        <item x="332"/>
        <item x="337"/>
        <item x="336"/>
        <item x="334"/>
        <item x="354"/>
        <item x="349"/>
        <item x="353"/>
        <item x="352"/>
        <item x="344"/>
        <item x="346"/>
        <item x="348"/>
        <item x="343"/>
        <item x="347"/>
        <item x="345"/>
        <item x="351"/>
        <item x="350"/>
        <item x="356"/>
        <item x="363"/>
        <item x="360"/>
        <item x="358"/>
        <item x="362"/>
        <item x="366"/>
        <item x="364"/>
        <item x="361"/>
        <item x="355"/>
        <item x="359"/>
        <item x="365"/>
        <item x="357"/>
        <item x="372"/>
        <item x="374"/>
        <item x="376"/>
        <item x="367"/>
        <item x="377"/>
        <item x="379"/>
        <item x="368"/>
        <item x="373"/>
        <item x="371"/>
        <item x="370"/>
        <item x="378"/>
        <item x="369"/>
        <item x="375"/>
        <item x="392"/>
        <item x="384"/>
        <item x="386"/>
        <item x="382"/>
        <item x="381"/>
        <item x="390"/>
        <item x="380"/>
        <item x="387"/>
        <item x="389"/>
        <item x="383"/>
        <item x="388"/>
        <item x="391"/>
        <item x="385"/>
        <item x="399"/>
        <item x="403"/>
        <item x="404"/>
        <item x="402"/>
        <item x="396"/>
        <item x="395"/>
        <item x="397"/>
        <item x="398"/>
        <item x="400"/>
        <item x="394"/>
        <item x="401"/>
        <item x="393"/>
        <item x="407"/>
        <item x="408"/>
        <item x="417"/>
        <item x="411"/>
        <item x="412"/>
        <item x="406"/>
        <item x="416"/>
        <item x="410"/>
        <item x="415"/>
        <item x="405"/>
        <item x="413"/>
        <item x="414"/>
        <item x="409"/>
        <item x="419"/>
        <item x="426"/>
        <item x="427"/>
        <item x="418"/>
        <item x="424"/>
        <item x="423"/>
        <item x="422"/>
        <item x="421"/>
        <item x="425"/>
        <item x="420"/>
        <item x="429"/>
        <item x="433"/>
        <item x="438"/>
        <item x="434"/>
        <item x="437"/>
        <item x="436"/>
        <item x="428"/>
        <item x="435"/>
        <item x="439"/>
        <item x="432"/>
        <item x="430"/>
        <item x="431"/>
        <item x="446"/>
        <item x="448"/>
        <item x="447"/>
        <item x="449"/>
        <item x="443"/>
        <item x="445"/>
        <item x="442"/>
        <item x="444"/>
        <item x="440"/>
        <item x="441"/>
        <item x="453"/>
        <item x="454"/>
        <item x="458"/>
        <item x="460"/>
        <item x="451"/>
        <item x="450"/>
        <item x="452"/>
        <item x="455"/>
        <item x="457"/>
        <item x="459"/>
        <item x="456"/>
        <item x="470"/>
        <item x="468"/>
        <item x="469"/>
        <item x="463"/>
        <item x="473"/>
        <item x="464"/>
        <item x="472"/>
        <item x="467"/>
        <item x="466"/>
        <item x="461"/>
        <item x="465"/>
        <item x="462"/>
        <item x="471"/>
        <item x="478"/>
        <item x="483"/>
        <item x="477"/>
        <item x="479"/>
        <item x="481"/>
        <item x="474"/>
        <item x="482"/>
        <item x="475"/>
        <item x="485"/>
        <item x="480"/>
        <item x="484"/>
        <item x="476"/>
        <item x="491"/>
        <item x="490"/>
        <item x="492"/>
        <item x="496"/>
        <item x="495"/>
        <item x="493"/>
        <item x="487"/>
        <item x="486"/>
        <item x="488"/>
        <item x="489"/>
        <item x="494"/>
        <item x="508"/>
        <item x="506"/>
        <item x="497"/>
        <item x="498"/>
        <item x="501"/>
        <item x="507"/>
        <item x="505"/>
        <item x="500"/>
        <item x="503"/>
        <item x="502"/>
        <item x="504"/>
        <item x="499"/>
        <item x="510"/>
        <item x="512"/>
        <item x="518"/>
        <item x="515"/>
        <item x="511"/>
        <item x="513"/>
        <item x="514"/>
        <item x="516"/>
        <item x="509"/>
        <item x="519"/>
        <item x="517"/>
        <item x="525"/>
        <item x="531"/>
        <item x="532"/>
        <item x="530"/>
        <item x="528"/>
        <item x="527"/>
        <item x="520"/>
        <item x="526"/>
        <item x="523"/>
        <item x="521"/>
        <item x="524"/>
        <item x="522"/>
        <item x="529"/>
        <item x="539"/>
        <item x="544"/>
        <item x="534"/>
        <item x="540"/>
        <item x="536"/>
        <item x="545"/>
        <item x="543"/>
        <item x="538"/>
        <item x="541"/>
        <item x="546"/>
        <item x="547"/>
        <item x="537"/>
        <item x="542"/>
        <item x="535"/>
        <item x="533"/>
        <item x="554"/>
        <item x="549"/>
        <item x="558"/>
        <item x="560"/>
        <item x="555"/>
        <item x="556"/>
        <item x="553"/>
        <item x="551"/>
        <item x="557"/>
        <item x="548"/>
        <item x="559"/>
        <item x="550"/>
        <item x="552"/>
        <item x="567"/>
        <item x="573"/>
        <item x="568"/>
        <item x="562"/>
        <item x="569"/>
        <item x="566"/>
        <item x="563"/>
        <item x="572"/>
        <item x="561"/>
        <item x="565"/>
        <item x="564"/>
        <item x="570"/>
        <item x="571"/>
        <item t="default"/>
      </items>
    </pivotField>
    <pivotField showAll="0">
      <items count="4">
        <item x="2"/>
        <item x="1"/>
        <item x="0"/>
        <item t="default"/>
      </items>
    </pivotField>
    <pivotField showAll="0">
      <items count="10">
        <item x="0"/>
        <item x="4"/>
        <item x="5"/>
        <item x="8"/>
        <item x="1"/>
        <item x="7"/>
        <item x="2"/>
        <item x="3"/>
        <item x="6"/>
        <item t="default"/>
      </items>
    </pivotField>
    <pivotField showAll="0">
      <items count="21">
        <item x="14"/>
        <item x="19"/>
        <item x="10"/>
        <item x="18"/>
        <item x="12"/>
        <item x="6"/>
        <item x="8"/>
        <item x="3"/>
        <item x="2"/>
        <item x="7"/>
        <item x="16"/>
        <item x="9"/>
        <item x="1"/>
        <item x="5"/>
        <item x="15"/>
        <item x="0"/>
        <item x="11"/>
        <item x="13"/>
        <item x="4"/>
        <item x="17"/>
        <item t="default"/>
      </items>
    </pivotField>
    <pivotField showAll="0"/>
    <pivotField showAll="0">
      <items count="11">
        <item x="6"/>
        <item x="5"/>
        <item x="4"/>
        <item x="1"/>
        <item x="3"/>
        <item x="0"/>
        <item x="2"/>
        <item x="9"/>
        <item x="8"/>
        <item x="7"/>
        <item t="default"/>
      </items>
    </pivotField>
    <pivotField showAll="0"/>
    <pivotField showAll="0"/>
    <pivotField showAll="0"/>
    <pivotField numFmtId="165" showAll="0"/>
    <pivotField numFmtId="9" showAll="0"/>
    <pivotField dataField="1" numFmtId="165"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 fld="12" baseField="0" baseItem="0" numFmtId="166"/>
  </dataFields>
  <formats count="1">
    <format dxfId="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A57B8B-A3BD-4DCD-891F-55FDD964DC8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3:M9" firstHeaderRow="1" firstDataRow="1" firstDataCol="1"/>
  <pivotFields count="17">
    <pivotField showAll="0">
      <items count="7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umFmtId="164" showAll="0">
      <items count="575">
        <item x="0"/>
        <item x="5"/>
        <item x="2"/>
        <item x="4"/>
        <item x="7"/>
        <item x="6"/>
        <item x="9"/>
        <item x="8"/>
        <item x="1"/>
        <item x="3"/>
        <item x="16"/>
        <item x="12"/>
        <item x="11"/>
        <item x="17"/>
        <item x="18"/>
        <item x="10"/>
        <item x="14"/>
        <item x="19"/>
        <item x="15"/>
        <item x="13"/>
        <item x="21"/>
        <item x="23"/>
        <item x="28"/>
        <item x="26"/>
        <item x="24"/>
        <item x="25"/>
        <item x="29"/>
        <item x="27"/>
        <item x="20"/>
        <item x="22"/>
        <item x="41"/>
        <item x="37"/>
        <item x="31"/>
        <item x="40"/>
        <item x="36"/>
        <item x="42"/>
        <item x="34"/>
        <item x="38"/>
        <item x="30"/>
        <item x="33"/>
        <item x="32"/>
        <item x="35"/>
        <item x="39"/>
        <item x="58"/>
        <item x="50"/>
        <item x="57"/>
        <item x="48"/>
        <item x="52"/>
        <item x="55"/>
        <item x="46"/>
        <item x="45"/>
        <item x="54"/>
        <item x="51"/>
        <item x="47"/>
        <item x="44"/>
        <item x="49"/>
        <item x="43"/>
        <item x="56"/>
        <item x="53"/>
        <item x="61"/>
        <item x="64"/>
        <item x="63"/>
        <item x="62"/>
        <item x="71"/>
        <item x="68"/>
        <item x="65"/>
        <item x="66"/>
        <item x="60"/>
        <item x="67"/>
        <item x="59"/>
        <item x="69"/>
        <item x="70"/>
        <item x="76"/>
        <item x="79"/>
        <item x="81"/>
        <item x="78"/>
        <item x="77"/>
        <item x="72"/>
        <item x="74"/>
        <item x="73"/>
        <item x="82"/>
        <item x="75"/>
        <item x="83"/>
        <item x="80"/>
        <item x="84"/>
        <item x="89"/>
        <item x="90"/>
        <item x="94"/>
        <item x="88"/>
        <item x="86"/>
        <item x="93"/>
        <item x="87"/>
        <item x="92"/>
        <item x="85"/>
        <item x="91"/>
        <item x="95"/>
        <item x="100"/>
        <item x="104"/>
        <item x="107"/>
        <item x="105"/>
        <item x="96"/>
        <item x="103"/>
        <item x="101"/>
        <item x="99"/>
        <item x="108"/>
        <item x="98"/>
        <item x="106"/>
        <item x="102"/>
        <item x="97"/>
        <item x="110"/>
        <item x="115"/>
        <item x="116"/>
        <item x="113"/>
        <item x="118"/>
        <item x="109"/>
        <item x="114"/>
        <item x="117"/>
        <item x="112"/>
        <item x="111"/>
        <item x="129"/>
        <item x="120"/>
        <item x="123"/>
        <item x="130"/>
        <item x="122"/>
        <item x="128"/>
        <item x="124"/>
        <item x="119"/>
        <item x="127"/>
        <item x="125"/>
        <item x="126"/>
        <item x="121"/>
        <item x="132"/>
        <item x="137"/>
        <item x="140"/>
        <item x="134"/>
        <item x="141"/>
        <item x="135"/>
        <item x="133"/>
        <item x="138"/>
        <item x="142"/>
        <item x="131"/>
        <item x="136"/>
        <item x="139"/>
        <item x="143"/>
        <item x="155"/>
        <item x="146"/>
        <item x="148"/>
        <item x="154"/>
        <item x="151"/>
        <item x="153"/>
        <item x="152"/>
        <item x="145"/>
        <item x="144"/>
        <item x="149"/>
        <item x="150"/>
        <item x="147"/>
        <item x="163"/>
        <item x="159"/>
        <item x="160"/>
        <item x="164"/>
        <item x="165"/>
        <item x="156"/>
        <item x="157"/>
        <item x="161"/>
        <item x="162"/>
        <item x="158"/>
        <item x="175"/>
        <item x="167"/>
        <item x="173"/>
        <item x="168"/>
        <item x="171"/>
        <item x="176"/>
        <item x="169"/>
        <item x="166"/>
        <item x="174"/>
        <item x="170"/>
        <item x="172"/>
        <item x="177"/>
        <item x="184"/>
        <item x="185"/>
        <item x="178"/>
        <item x="179"/>
        <item x="183"/>
        <item x="182"/>
        <item x="181"/>
        <item x="180"/>
        <item x="188"/>
        <item x="189"/>
        <item x="190"/>
        <item x="194"/>
        <item x="192"/>
        <item x="191"/>
        <item x="195"/>
        <item x="193"/>
        <item x="186"/>
        <item x="187"/>
        <item x="205"/>
        <item x="206"/>
        <item x="199"/>
        <item x="207"/>
        <item x="198"/>
        <item x="196"/>
        <item x="197"/>
        <item x="203"/>
        <item x="202"/>
        <item x="204"/>
        <item x="200"/>
        <item x="201"/>
        <item x="221"/>
        <item x="220"/>
        <item x="215"/>
        <item x="211"/>
        <item x="208"/>
        <item x="214"/>
        <item x="219"/>
        <item x="212"/>
        <item x="210"/>
        <item x="213"/>
        <item x="216"/>
        <item x="217"/>
        <item x="218"/>
        <item x="209"/>
        <item x="229"/>
        <item x="233"/>
        <item x="222"/>
        <item x="223"/>
        <item x="232"/>
        <item x="234"/>
        <item x="230"/>
        <item x="225"/>
        <item x="231"/>
        <item x="227"/>
        <item x="228"/>
        <item x="224"/>
        <item x="226"/>
        <item x="238"/>
        <item x="237"/>
        <item x="240"/>
        <item x="239"/>
        <item x="241"/>
        <item x="242"/>
        <item x="243"/>
        <item x="236"/>
        <item x="235"/>
        <item x="253"/>
        <item x="247"/>
        <item x="244"/>
        <item x="252"/>
        <item x="249"/>
        <item x="254"/>
        <item x="245"/>
        <item x="256"/>
        <item x="248"/>
        <item x="251"/>
        <item x="250"/>
        <item x="255"/>
        <item x="246"/>
        <item x="265"/>
        <item x="260"/>
        <item x="258"/>
        <item x="266"/>
        <item x="257"/>
        <item x="261"/>
        <item x="262"/>
        <item x="264"/>
        <item x="267"/>
        <item x="263"/>
        <item x="268"/>
        <item x="259"/>
        <item x="272"/>
        <item x="280"/>
        <item x="270"/>
        <item x="274"/>
        <item x="271"/>
        <item x="279"/>
        <item x="277"/>
        <item x="278"/>
        <item x="276"/>
        <item x="273"/>
        <item x="275"/>
        <item x="269"/>
        <item x="285"/>
        <item x="290"/>
        <item x="282"/>
        <item x="292"/>
        <item x="284"/>
        <item x="283"/>
        <item x="288"/>
        <item x="286"/>
        <item x="289"/>
        <item x="291"/>
        <item x="281"/>
        <item x="287"/>
        <item x="298"/>
        <item x="299"/>
        <item x="296"/>
        <item x="300"/>
        <item x="304"/>
        <item x="294"/>
        <item x="305"/>
        <item x="293"/>
        <item x="301"/>
        <item x="297"/>
        <item x="295"/>
        <item x="306"/>
        <item x="303"/>
        <item x="302"/>
        <item x="313"/>
        <item x="307"/>
        <item x="316"/>
        <item x="314"/>
        <item x="315"/>
        <item x="318"/>
        <item x="309"/>
        <item x="319"/>
        <item x="311"/>
        <item x="317"/>
        <item x="310"/>
        <item x="312"/>
        <item x="308"/>
        <item x="329"/>
        <item x="323"/>
        <item x="328"/>
        <item x="330"/>
        <item x="325"/>
        <item x="326"/>
        <item x="324"/>
        <item x="320"/>
        <item x="327"/>
        <item x="322"/>
        <item x="321"/>
        <item x="335"/>
        <item x="340"/>
        <item x="331"/>
        <item x="342"/>
        <item x="339"/>
        <item x="341"/>
        <item x="333"/>
        <item x="338"/>
        <item x="332"/>
        <item x="337"/>
        <item x="336"/>
        <item x="334"/>
        <item x="354"/>
        <item x="349"/>
        <item x="353"/>
        <item x="352"/>
        <item x="344"/>
        <item x="346"/>
        <item x="348"/>
        <item x="343"/>
        <item x="347"/>
        <item x="345"/>
        <item x="351"/>
        <item x="350"/>
        <item x="356"/>
        <item x="363"/>
        <item x="360"/>
        <item x="358"/>
        <item x="362"/>
        <item x="366"/>
        <item x="364"/>
        <item x="361"/>
        <item x="355"/>
        <item x="359"/>
        <item x="365"/>
        <item x="357"/>
        <item x="372"/>
        <item x="374"/>
        <item x="376"/>
        <item x="367"/>
        <item x="377"/>
        <item x="379"/>
        <item x="368"/>
        <item x="373"/>
        <item x="371"/>
        <item x="370"/>
        <item x="378"/>
        <item x="369"/>
        <item x="375"/>
        <item x="392"/>
        <item x="384"/>
        <item x="386"/>
        <item x="382"/>
        <item x="381"/>
        <item x="390"/>
        <item x="380"/>
        <item x="387"/>
        <item x="389"/>
        <item x="383"/>
        <item x="388"/>
        <item x="391"/>
        <item x="385"/>
        <item x="399"/>
        <item x="403"/>
        <item x="404"/>
        <item x="402"/>
        <item x="396"/>
        <item x="395"/>
        <item x="397"/>
        <item x="398"/>
        <item x="400"/>
        <item x="394"/>
        <item x="401"/>
        <item x="393"/>
        <item x="407"/>
        <item x="408"/>
        <item x="417"/>
        <item x="411"/>
        <item x="412"/>
        <item x="406"/>
        <item x="416"/>
        <item x="410"/>
        <item x="415"/>
        <item x="405"/>
        <item x="413"/>
        <item x="414"/>
        <item x="409"/>
        <item x="419"/>
        <item x="426"/>
        <item x="427"/>
        <item x="418"/>
        <item x="424"/>
        <item x="423"/>
        <item x="422"/>
        <item x="421"/>
        <item x="425"/>
        <item x="420"/>
        <item x="429"/>
        <item x="433"/>
        <item x="438"/>
        <item x="434"/>
        <item x="437"/>
        <item x="436"/>
        <item x="428"/>
        <item x="435"/>
        <item x="439"/>
        <item x="432"/>
        <item x="430"/>
        <item x="431"/>
        <item x="446"/>
        <item x="448"/>
        <item x="447"/>
        <item x="449"/>
        <item x="443"/>
        <item x="445"/>
        <item x="442"/>
        <item x="444"/>
        <item x="440"/>
        <item x="441"/>
        <item x="453"/>
        <item x="454"/>
        <item x="458"/>
        <item x="460"/>
        <item x="451"/>
        <item x="450"/>
        <item x="452"/>
        <item x="455"/>
        <item x="457"/>
        <item x="459"/>
        <item x="456"/>
        <item x="470"/>
        <item x="468"/>
        <item x="469"/>
        <item x="463"/>
        <item x="473"/>
        <item x="464"/>
        <item x="472"/>
        <item x="467"/>
        <item x="466"/>
        <item x="461"/>
        <item x="465"/>
        <item x="462"/>
        <item x="471"/>
        <item x="478"/>
        <item x="483"/>
        <item x="477"/>
        <item x="479"/>
        <item x="481"/>
        <item x="474"/>
        <item x="482"/>
        <item x="475"/>
        <item x="485"/>
        <item x="480"/>
        <item x="484"/>
        <item x="476"/>
        <item x="491"/>
        <item x="490"/>
        <item x="492"/>
        <item x="496"/>
        <item x="495"/>
        <item x="493"/>
        <item x="487"/>
        <item x="486"/>
        <item x="488"/>
        <item x="489"/>
        <item x="494"/>
        <item x="508"/>
        <item x="506"/>
        <item x="497"/>
        <item x="498"/>
        <item x="501"/>
        <item x="507"/>
        <item x="505"/>
        <item x="500"/>
        <item x="503"/>
        <item x="502"/>
        <item x="504"/>
        <item x="499"/>
        <item x="510"/>
        <item x="512"/>
        <item x="518"/>
        <item x="515"/>
        <item x="511"/>
        <item x="513"/>
        <item x="514"/>
        <item x="516"/>
        <item x="509"/>
        <item x="519"/>
        <item x="517"/>
        <item x="525"/>
        <item x="531"/>
        <item x="532"/>
        <item x="530"/>
        <item x="528"/>
        <item x="527"/>
        <item x="520"/>
        <item x="526"/>
        <item x="523"/>
        <item x="521"/>
        <item x="524"/>
        <item x="522"/>
        <item x="529"/>
        <item x="539"/>
        <item x="544"/>
        <item x="534"/>
        <item x="540"/>
        <item x="536"/>
        <item x="545"/>
        <item x="543"/>
        <item x="538"/>
        <item x="541"/>
        <item x="546"/>
        <item x="547"/>
        <item x="537"/>
        <item x="542"/>
        <item x="535"/>
        <item x="533"/>
        <item x="554"/>
        <item x="549"/>
        <item x="558"/>
        <item x="560"/>
        <item x="555"/>
        <item x="556"/>
        <item x="553"/>
        <item x="551"/>
        <item x="557"/>
        <item x="548"/>
        <item x="559"/>
        <item x="550"/>
        <item x="552"/>
        <item x="567"/>
        <item x="573"/>
        <item x="568"/>
        <item x="562"/>
        <item x="569"/>
        <item x="566"/>
        <item x="563"/>
        <item x="572"/>
        <item x="561"/>
        <item x="565"/>
        <item x="564"/>
        <item x="570"/>
        <item x="571"/>
        <item t="default"/>
      </items>
    </pivotField>
    <pivotField showAll="0">
      <items count="4">
        <item x="2"/>
        <item x="1"/>
        <item x="0"/>
        <item t="default"/>
      </items>
    </pivotField>
    <pivotField showAll="0">
      <items count="10">
        <item x="0"/>
        <item x="4"/>
        <item x="5"/>
        <item x="8"/>
        <item x="1"/>
        <item x="7"/>
        <item x="2"/>
        <item x="3"/>
        <item x="6"/>
        <item t="default"/>
      </items>
    </pivotField>
    <pivotField axis="axisRow" showAll="0" measureFilter="1" sortType="descending">
      <items count="21">
        <item x="14"/>
        <item x="19"/>
        <item x="10"/>
        <item x="18"/>
        <item x="12"/>
        <item x="6"/>
        <item x="8"/>
        <item x="3"/>
        <item x="2"/>
        <item x="7"/>
        <item x="16"/>
        <item x="9"/>
        <item x="1"/>
        <item x="5"/>
        <item x="15"/>
        <item x="0"/>
        <item x="11"/>
        <item x="13"/>
        <item x="4"/>
        <item x="17"/>
        <item t="default"/>
      </items>
      <autoSortScope>
        <pivotArea dataOnly="0" outline="0" fieldPosition="0">
          <references count="1">
            <reference field="4294967294" count="1" selected="0">
              <x v="0"/>
            </reference>
          </references>
        </pivotArea>
      </autoSortScope>
    </pivotField>
    <pivotField showAll="0"/>
    <pivotField showAll="0">
      <items count="11">
        <item x="6"/>
        <item x="5"/>
        <item x="4"/>
        <item x="1"/>
        <item x="3"/>
        <item x="0"/>
        <item x="2"/>
        <item x="9"/>
        <item x="8"/>
        <item x="7"/>
        <item t="default"/>
      </items>
    </pivotField>
    <pivotField showAll="0"/>
    <pivotField showAll="0"/>
    <pivotField showAll="0"/>
    <pivotField numFmtId="165" showAll="0"/>
    <pivotField numFmtId="9" showAll="0"/>
    <pivotField numFmtId="165"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6">
    <i>
      <x v="16"/>
    </i>
    <i>
      <x v="9"/>
    </i>
    <i>
      <x v="2"/>
    </i>
    <i>
      <x v="19"/>
    </i>
    <i>
      <x v="8"/>
    </i>
    <i t="grand">
      <x/>
    </i>
  </rowItems>
  <colItems count="1">
    <i/>
  </colItems>
  <dataFields count="1">
    <dataField name="Sum of Profit" fld="13" baseField="0" baseItem="0" numFmtId="166"/>
  </dataFields>
  <formats count="1">
    <format dxfId="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8D2BF8-EBD8-4E42-A370-1285B1659FC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4" firstHeaderRow="1" firstDataRow="1" firstDataCol="1"/>
  <pivotFields count="17">
    <pivotField showAll="0">
      <items count="7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umFmtId="164" showAll="0">
      <items count="575">
        <item x="0"/>
        <item x="5"/>
        <item x="2"/>
        <item x="4"/>
        <item x="7"/>
        <item x="6"/>
        <item x="9"/>
        <item x="8"/>
        <item x="1"/>
        <item x="3"/>
        <item x="16"/>
        <item x="12"/>
        <item x="11"/>
        <item x="17"/>
        <item x="18"/>
        <item x="10"/>
        <item x="14"/>
        <item x="19"/>
        <item x="15"/>
        <item x="13"/>
        <item x="21"/>
        <item x="23"/>
        <item x="28"/>
        <item x="26"/>
        <item x="24"/>
        <item x="25"/>
        <item x="29"/>
        <item x="27"/>
        <item x="20"/>
        <item x="22"/>
        <item x="41"/>
        <item x="37"/>
        <item x="31"/>
        <item x="40"/>
        <item x="36"/>
        <item x="42"/>
        <item x="34"/>
        <item x="38"/>
        <item x="30"/>
        <item x="33"/>
        <item x="32"/>
        <item x="35"/>
        <item x="39"/>
        <item x="58"/>
        <item x="50"/>
        <item x="57"/>
        <item x="48"/>
        <item x="52"/>
        <item x="55"/>
        <item x="46"/>
        <item x="45"/>
        <item x="54"/>
        <item x="51"/>
        <item x="47"/>
        <item x="44"/>
        <item x="49"/>
        <item x="43"/>
        <item x="56"/>
        <item x="53"/>
        <item x="61"/>
        <item x="64"/>
        <item x="63"/>
        <item x="62"/>
        <item x="71"/>
        <item x="68"/>
        <item x="65"/>
        <item x="66"/>
        <item x="60"/>
        <item x="67"/>
        <item x="59"/>
        <item x="69"/>
        <item x="70"/>
        <item x="76"/>
        <item x="79"/>
        <item x="81"/>
        <item x="78"/>
        <item x="77"/>
        <item x="72"/>
        <item x="74"/>
        <item x="73"/>
        <item x="82"/>
        <item x="75"/>
        <item x="83"/>
        <item x="80"/>
        <item x="84"/>
        <item x="89"/>
        <item x="90"/>
        <item x="94"/>
        <item x="88"/>
        <item x="86"/>
        <item x="93"/>
        <item x="87"/>
        <item x="92"/>
        <item x="85"/>
        <item x="91"/>
        <item x="95"/>
        <item x="100"/>
        <item x="104"/>
        <item x="107"/>
        <item x="105"/>
        <item x="96"/>
        <item x="103"/>
        <item x="101"/>
        <item x="99"/>
        <item x="108"/>
        <item x="98"/>
        <item x="106"/>
        <item x="102"/>
        <item x="97"/>
        <item x="110"/>
        <item x="115"/>
        <item x="116"/>
        <item x="113"/>
        <item x="118"/>
        <item x="109"/>
        <item x="114"/>
        <item x="117"/>
        <item x="112"/>
        <item x="111"/>
        <item x="129"/>
        <item x="120"/>
        <item x="123"/>
        <item x="130"/>
        <item x="122"/>
        <item x="128"/>
        <item x="124"/>
        <item x="119"/>
        <item x="127"/>
        <item x="125"/>
        <item x="126"/>
        <item x="121"/>
        <item x="132"/>
        <item x="137"/>
        <item x="140"/>
        <item x="134"/>
        <item x="141"/>
        <item x="135"/>
        <item x="133"/>
        <item x="138"/>
        <item x="142"/>
        <item x="131"/>
        <item x="136"/>
        <item x="139"/>
        <item x="143"/>
        <item x="155"/>
        <item x="146"/>
        <item x="148"/>
        <item x="154"/>
        <item x="151"/>
        <item x="153"/>
        <item x="152"/>
        <item x="145"/>
        <item x="144"/>
        <item x="149"/>
        <item x="150"/>
        <item x="147"/>
        <item x="163"/>
        <item x="159"/>
        <item x="160"/>
        <item x="164"/>
        <item x="165"/>
        <item x="156"/>
        <item x="157"/>
        <item x="161"/>
        <item x="162"/>
        <item x="158"/>
        <item x="175"/>
        <item x="167"/>
        <item x="173"/>
        <item x="168"/>
        <item x="171"/>
        <item x="176"/>
        <item x="169"/>
        <item x="166"/>
        <item x="174"/>
        <item x="170"/>
        <item x="172"/>
        <item x="177"/>
        <item x="184"/>
        <item x="185"/>
        <item x="178"/>
        <item x="179"/>
        <item x="183"/>
        <item x="182"/>
        <item x="181"/>
        <item x="180"/>
        <item x="188"/>
        <item x="189"/>
        <item x="190"/>
        <item x="194"/>
        <item x="192"/>
        <item x="191"/>
        <item x="195"/>
        <item x="193"/>
        <item x="186"/>
        <item x="187"/>
        <item x="205"/>
        <item x="206"/>
        <item x="199"/>
        <item x="207"/>
        <item x="198"/>
        <item x="196"/>
        <item x="197"/>
        <item x="203"/>
        <item x="202"/>
        <item x="204"/>
        <item x="200"/>
        <item x="201"/>
        <item x="221"/>
        <item x="220"/>
        <item x="215"/>
        <item x="211"/>
        <item x="208"/>
        <item x="214"/>
        <item x="219"/>
        <item x="212"/>
        <item x="210"/>
        <item x="213"/>
        <item x="216"/>
        <item x="217"/>
        <item x="218"/>
        <item x="209"/>
        <item x="229"/>
        <item x="233"/>
        <item x="222"/>
        <item x="223"/>
        <item x="232"/>
        <item x="234"/>
        <item x="230"/>
        <item x="225"/>
        <item x="231"/>
        <item x="227"/>
        <item x="228"/>
        <item x="224"/>
        <item x="226"/>
        <item x="238"/>
        <item x="237"/>
        <item x="240"/>
        <item x="239"/>
        <item x="241"/>
        <item x="242"/>
        <item x="243"/>
        <item x="236"/>
        <item x="235"/>
        <item x="253"/>
        <item x="247"/>
        <item x="244"/>
        <item x="252"/>
        <item x="249"/>
        <item x="254"/>
        <item x="245"/>
        <item x="256"/>
        <item x="248"/>
        <item x="251"/>
        <item x="250"/>
        <item x="255"/>
        <item x="246"/>
        <item x="265"/>
        <item x="260"/>
        <item x="258"/>
        <item x="266"/>
        <item x="257"/>
        <item x="261"/>
        <item x="262"/>
        <item x="264"/>
        <item x="267"/>
        <item x="263"/>
        <item x="268"/>
        <item x="259"/>
        <item x="272"/>
        <item x="280"/>
        <item x="270"/>
        <item x="274"/>
        <item x="271"/>
        <item x="279"/>
        <item x="277"/>
        <item x="278"/>
        <item x="276"/>
        <item x="273"/>
        <item x="275"/>
        <item x="269"/>
        <item x="285"/>
        <item x="290"/>
        <item x="282"/>
        <item x="292"/>
        <item x="284"/>
        <item x="283"/>
        <item x="288"/>
        <item x="286"/>
        <item x="289"/>
        <item x="291"/>
        <item x="281"/>
        <item x="287"/>
        <item x="298"/>
        <item x="299"/>
        <item x="296"/>
        <item x="300"/>
        <item x="304"/>
        <item x="294"/>
        <item x="305"/>
        <item x="293"/>
        <item x="301"/>
        <item x="297"/>
        <item x="295"/>
        <item x="306"/>
        <item x="303"/>
        <item x="302"/>
        <item x="313"/>
        <item x="307"/>
        <item x="316"/>
        <item x="314"/>
        <item x="315"/>
        <item x="318"/>
        <item x="309"/>
        <item x="319"/>
        <item x="311"/>
        <item x="317"/>
        <item x="310"/>
        <item x="312"/>
        <item x="308"/>
        <item x="329"/>
        <item x="323"/>
        <item x="328"/>
        <item x="330"/>
        <item x="325"/>
        <item x="326"/>
        <item x="324"/>
        <item x="320"/>
        <item x="327"/>
        <item x="322"/>
        <item x="321"/>
        <item x="335"/>
        <item x="340"/>
        <item x="331"/>
        <item x="342"/>
        <item x="339"/>
        <item x="341"/>
        <item x="333"/>
        <item x="338"/>
        <item x="332"/>
        <item x="337"/>
        <item x="336"/>
        <item x="334"/>
        <item x="354"/>
        <item x="349"/>
        <item x="353"/>
        <item x="352"/>
        <item x="344"/>
        <item x="346"/>
        <item x="348"/>
        <item x="343"/>
        <item x="347"/>
        <item x="345"/>
        <item x="351"/>
        <item x="350"/>
        <item x="356"/>
        <item x="363"/>
        <item x="360"/>
        <item x="358"/>
        <item x="362"/>
        <item x="366"/>
        <item x="364"/>
        <item x="361"/>
        <item x="355"/>
        <item x="359"/>
        <item x="365"/>
        <item x="357"/>
        <item x="372"/>
        <item x="374"/>
        <item x="376"/>
        <item x="367"/>
        <item x="377"/>
        <item x="379"/>
        <item x="368"/>
        <item x="373"/>
        <item x="371"/>
        <item x="370"/>
        <item x="378"/>
        <item x="369"/>
        <item x="375"/>
        <item x="392"/>
        <item x="384"/>
        <item x="386"/>
        <item x="382"/>
        <item x="381"/>
        <item x="390"/>
        <item x="380"/>
        <item x="387"/>
        <item x="389"/>
        <item x="383"/>
        <item x="388"/>
        <item x="391"/>
        <item x="385"/>
        <item x="399"/>
        <item x="403"/>
        <item x="404"/>
        <item x="402"/>
        <item x="396"/>
        <item x="395"/>
        <item x="397"/>
        <item x="398"/>
        <item x="400"/>
        <item x="394"/>
        <item x="401"/>
        <item x="393"/>
        <item x="407"/>
        <item x="408"/>
        <item x="417"/>
        <item x="411"/>
        <item x="412"/>
        <item x="406"/>
        <item x="416"/>
        <item x="410"/>
        <item x="415"/>
        <item x="405"/>
        <item x="413"/>
        <item x="414"/>
        <item x="409"/>
        <item x="419"/>
        <item x="426"/>
        <item x="427"/>
        <item x="418"/>
        <item x="424"/>
        <item x="423"/>
        <item x="422"/>
        <item x="421"/>
        <item x="425"/>
        <item x="420"/>
        <item x="429"/>
        <item x="433"/>
        <item x="438"/>
        <item x="434"/>
        <item x="437"/>
        <item x="436"/>
        <item x="428"/>
        <item x="435"/>
        <item x="439"/>
        <item x="432"/>
        <item x="430"/>
        <item x="431"/>
        <item x="446"/>
        <item x="448"/>
        <item x="447"/>
        <item x="449"/>
        <item x="443"/>
        <item x="445"/>
        <item x="442"/>
        <item x="444"/>
        <item x="440"/>
        <item x="441"/>
        <item x="453"/>
        <item x="454"/>
        <item x="458"/>
        <item x="460"/>
        <item x="451"/>
        <item x="450"/>
        <item x="452"/>
        <item x="455"/>
        <item x="457"/>
        <item x="459"/>
        <item x="456"/>
        <item x="470"/>
        <item x="468"/>
        <item x="469"/>
        <item x="463"/>
        <item x="473"/>
        <item x="464"/>
        <item x="472"/>
        <item x="467"/>
        <item x="466"/>
        <item x="461"/>
        <item x="465"/>
        <item x="462"/>
        <item x="471"/>
        <item x="478"/>
        <item x="483"/>
        <item x="477"/>
        <item x="479"/>
        <item x="481"/>
        <item x="474"/>
        <item x="482"/>
        <item x="475"/>
        <item x="485"/>
        <item x="480"/>
        <item x="484"/>
        <item x="476"/>
        <item x="491"/>
        <item x="490"/>
        <item x="492"/>
        <item x="496"/>
        <item x="495"/>
        <item x="493"/>
        <item x="487"/>
        <item x="486"/>
        <item x="488"/>
        <item x="489"/>
        <item x="494"/>
        <item x="508"/>
        <item x="506"/>
        <item x="497"/>
        <item x="498"/>
        <item x="501"/>
        <item x="507"/>
        <item x="505"/>
        <item x="500"/>
        <item x="503"/>
        <item x="502"/>
        <item x="504"/>
        <item x="499"/>
        <item x="510"/>
        <item x="512"/>
        <item x="518"/>
        <item x="515"/>
        <item x="511"/>
        <item x="513"/>
        <item x="514"/>
        <item x="516"/>
        <item x="509"/>
        <item x="519"/>
        <item x="517"/>
        <item x="525"/>
        <item x="531"/>
        <item x="532"/>
        <item x="530"/>
        <item x="528"/>
        <item x="527"/>
        <item x="520"/>
        <item x="526"/>
        <item x="523"/>
        <item x="521"/>
        <item x="524"/>
        <item x="522"/>
        <item x="529"/>
        <item x="539"/>
        <item x="544"/>
        <item x="534"/>
        <item x="540"/>
        <item x="536"/>
        <item x="545"/>
        <item x="543"/>
        <item x="538"/>
        <item x="541"/>
        <item x="546"/>
        <item x="547"/>
        <item x="537"/>
        <item x="542"/>
        <item x="535"/>
        <item x="533"/>
        <item x="554"/>
        <item x="549"/>
        <item x="558"/>
        <item x="560"/>
        <item x="555"/>
        <item x="556"/>
        <item x="553"/>
        <item x="551"/>
        <item x="557"/>
        <item x="548"/>
        <item x="559"/>
        <item x="550"/>
        <item x="552"/>
        <item x="567"/>
        <item x="573"/>
        <item x="568"/>
        <item x="562"/>
        <item x="569"/>
        <item x="566"/>
        <item x="563"/>
        <item x="572"/>
        <item x="561"/>
        <item x="565"/>
        <item x="564"/>
        <item x="570"/>
        <item x="571"/>
        <item t="default"/>
      </items>
    </pivotField>
    <pivotField showAll="0">
      <items count="4">
        <item x="2"/>
        <item x="1"/>
        <item x="0"/>
        <item t="default"/>
      </items>
    </pivotField>
    <pivotField showAll="0" sortType="descending">
      <items count="10">
        <item x="0"/>
        <item x="4"/>
        <item x="5"/>
        <item x="8"/>
        <item x="1"/>
        <item x="7"/>
        <item x="2"/>
        <item x="3"/>
        <item x="6"/>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11">
        <item x="6"/>
        <item x="5"/>
        <item x="4"/>
        <item x="1"/>
        <item x="3"/>
        <item x="0"/>
        <item x="2"/>
        <item x="9"/>
        <item x="8"/>
        <item x="7"/>
        <item t="default"/>
      </items>
    </pivotField>
    <pivotField showAll="0"/>
    <pivotField showAll="0"/>
    <pivotField showAll="0"/>
    <pivotField numFmtId="165" showAll="0"/>
    <pivotField numFmtId="9" showAll="0"/>
    <pivotField dataField="1" numFmtId="165"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6"/>
  </rowFields>
  <rowItems count="11">
    <i>
      <x/>
    </i>
    <i>
      <x v="1"/>
    </i>
    <i>
      <x v="2"/>
    </i>
    <i>
      <x v="3"/>
    </i>
    <i>
      <x v="4"/>
    </i>
    <i>
      <x v="5"/>
    </i>
    <i>
      <x v="6"/>
    </i>
    <i>
      <x v="7"/>
    </i>
    <i>
      <x v="8"/>
    </i>
    <i>
      <x v="9"/>
    </i>
    <i t="grand">
      <x/>
    </i>
  </rowItems>
  <colItems count="1">
    <i/>
  </colItems>
  <dataFields count="1">
    <dataField name="Sum of Sales" fld="12" baseField="0" baseItem="0" numFmtId="166"/>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74B48EF-37C6-4927-B40B-56454FE7319F}" sourceName="Category">
  <pivotTables>
    <pivotTable tabId="3" name="PivotTable8"/>
    <pivotTable tabId="3" name="PivotTable10"/>
    <pivotTable tabId="3" name="PivotTable11"/>
    <pivotTable tabId="3" name="PivotTable5"/>
    <pivotTable tabId="3" name="PivotTable6"/>
    <pivotTable tabId="3" name="PivotTable7"/>
    <pivotTable tabId="3" name="PivotTable9"/>
  </pivotTables>
  <data>
    <tabular pivotCacheId="191460121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A0C0F65-E344-46B4-852F-F8A7C6DA00BA}" sourceName="State">
  <pivotTables>
    <pivotTable tabId="3" name="PivotTable8"/>
    <pivotTable tabId="3" name="PivotTable10"/>
    <pivotTable tabId="3" name="PivotTable11"/>
    <pivotTable tabId="3" name="PivotTable5"/>
    <pivotTable tabId="3" name="PivotTable6"/>
    <pivotTable tabId="3" name="PivotTable7"/>
    <pivotTable tabId="3" name="PivotTable9"/>
  </pivotTables>
  <data>
    <tabular pivotCacheId="1914601210">
      <items count="10">
        <i x="6" s="1"/>
        <i x="5" s="1"/>
        <i x="4" s="1"/>
        <i x="1" s="1"/>
        <i x="3" s="1"/>
        <i x="0" s="1"/>
        <i x="2" s="1"/>
        <i x="9" s="1"/>
        <i x="8"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2B1A263-ED9B-458F-AE51-DD291A18B44D}" sourceName="Years (Order Date)">
  <pivotTables>
    <pivotTable tabId="3" name="PivotTable8"/>
    <pivotTable tabId="3" name="PivotTable10"/>
    <pivotTable tabId="3" name="PivotTable11"/>
    <pivotTable tabId="3" name="PivotTable5"/>
    <pivotTable tabId="3" name="PivotTable6"/>
    <pivotTable tabId="3" name="PivotTable7"/>
    <pivotTable tabId="3" name="PivotTable9"/>
  </pivotTables>
  <data>
    <tabular pivotCacheId="1914601210">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AB46778-A799-433C-8C47-79686EB4D180}" cache="Slicer_Category" caption="Category" style="SlicerStyleDark1 3" rowHeight="320675"/>
  <slicer name="State" xr10:uid="{BDCC3592-FA6E-4DB7-B3EC-11ADFBF368C4}" cache="Slicer_State" caption="State" startItem="6" style="SlicerStyleDark1 3" rowHeight="320675"/>
  <slicer name="Years (Order Date)" xr10:uid="{FF7F47DB-5156-4D1C-B717-7EF98D020FA6}" cache="Slicer_Years__Order_Date" caption="Years (Order Date)" startItem="2" style="SlicerStyleDark1 3" rowHeight="3206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12E360-3351-4F8B-B4D3-CA7F8B78DF87}" name="Table2" displayName="Table2" ref="A1:N794" totalsRowShown="0" headerRowDxfId="24" dataDxfId="22" headerRowBorderDxfId="23" tableBorderDxfId="21">
  <autoFilter ref="A1:N794" xr:uid="{3F12E360-3351-4F8B-B4D3-CA7F8B78DF87}"/>
  <tableColumns count="14">
    <tableColumn id="1" xr3:uid="{7CD0C754-195D-4998-9E2B-BCE5ABADD4DA}" name="Order ID" dataDxfId="20"/>
    <tableColumn id="2" xr3:uid="{87D8EA60-DE53-4C2D-856D-D7D811599FD6}" name="Order Date" dataDxfId="19"/>
    <tableColumn id="3" xr3:uid="{901D5BB3-445C-4791-9B8C-C23D9E648C4A}" name="Category" dataDxfId="18"/>
    <tableColumn id="4" xr3:uid="{DF58793C-E474-4B32-B5B9-262C0BD768D6}" name="Sub-Category" dataDxfId="17"/>
    <tableColumn id="5" xr3:uid="{FD7EB0B3-0908-4E02-918C-D62F07E22F03}" name="Customer Name" dataDxfId="16"/>
    <tableColumn id="6" xr3:uid="{D0AA72F1-1AB8-4EF0-AA6C-93C121ADEB4F}" name="Segment" dataDxfId="15"/>
    <tableColumn id="7" xr3:uid="{1D522165-57D9-4062-B355-1D86581C532F}" name="State" dataDxfId="14"/>
    <tableColumn id="8" xr3:uid="{7DA34234-0B3C-4BA2-B3C7-0E2F31D8B508}" name="Region" dataDxfId="13"/>
    <tableColumn id="9" xr3:uid="{02F8C35F-0ABB-4E3C-BEE7-0ED7C1732C3A}" name="Sales Rep" dataDxfId="12"/>
    <tableColumn id="10" xr3:uid="{12AAEBC1-5268-4C8C-8EF9-FB6B9FDC4237}" name="Quantity" dataDxfId="11"/>
    <tableColumn id="11" xr3:uid="{6B01876F-4C06-4D3D-B158-4CA7386F87DF}" name="Unit Price" dataDxfId="10"/>
    <tableColumn id="12" xr3:uid="{0F6A30DD-7642-4477-BC7C-89B56FA3D7D2}" name="Discount" dataDxfId="9" dataCellStyle="Percent"/>
    <tableColumn id="13" xr3:uid="{0A3157E7-BE8A-4AEF-8399-7146D00EDE0E}" name="Sales" dataDxfId="8"/>
    <tableColumn id="14" xr3:uid="{D0D47D72-03D8-4414-944D-39FA4D18AA29}" name="Profit"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2AB4C-E02C-4AF1-BE2C-F009F98D3469}">
  <dimension ref="A1:N794"/>
  <sheetViews>
    <sheetView topLeftCell="E1" workbookViewId="0">
      <pane ySplit="1" topLeftCell="A2" activePane="bottomLeft" state="frozen"/>
      <selection activeCell="C1" sqref="C1"/>
      <selection pane="bottomLeft"/>
    </sheetView>
  </sheetViews>
  <sheetFormatPr defaultColWidth="9.19921875" defaultRowHeight="21" x14ac:dyDescent="0.45"/>
  <cols>
    <col min="1" max="1" width="9.09765625" style="1" bestFit="1" customWidth="1"/>
    <col min="2" max="2" width="12.69921875" style="1" customWidth="1"/>
    <col min="3" max="3" width="11.5" style="1" bestFit="1" customWidth="1"/>
    <col min="4" max="4" width="12" style="1" customWidth="1"/>
    <col min="5" max="5" width="19.5" style="1" bestFit="1" customWidth="1"/>
    <col min="6" max="6" width="11" style="1" bestFit="1" customWidth="1"/>
    <col min="7" max="7" width="11.3984375" style="1" bestFit="1" customWidth="1"/>
    <col min="8" max="8" width="7.8984375" style="1" bestFit="1" customWidth="1"/>
    <col min="9" max="9" width="10.19921875" style="1" bestFit="1" customWidth="1"/>
    <col min="10" max="10" width="8.5" style="1" customWidth="1"/>
    <col min="11" max="11" width="9.59765625" style="1" customWidth="1"/>
    <col min="12" max="12" width="8.59765625" style="1" customWidth="1"/>
    <col min="13" max="13" width="6.09765625" style="1" bestFit="1" customWidth="1"/>
    <col min="14" max="14" width="6.19921875" style="1" customWidth="1"/>
    <col min="15" max="16384" width="9.19921875" style="1"/>
  </cols>
  <sheetData>
    <row r="1" spans="1:14" x14ac:dyDescent="0.45">
      <c r="A1" s="5" t="s">
        <v>0</v>
      </c>
      <c r="B1" s="5" t="s">
        <v>1</v>
      </c>
      <c r="C1" s="5" t="s">
        <v>2</v>
      </c>
      <c r="D1" s="5" t="s">
        <v>869</v>
      </c>
      <c r="E1" s="5" t="s">
        <v>3</v>
      </c>
      <c r="F1" s="5" t="s">
        <v>4</v>
      </c>
      <c r="G1" s="5" t="s">
        <v>5</v>
      </c>
      <c r="H1" s="5" t="s">
        <v>6</v>
      </c>
      <c r="I1" s="5" t="s">
        <v>7</v>
      </c>
      <c r="J1" s="5" t="s">
        <v>8</v>
      </c>
      <c r="K1" s="5" t="s">
        <v>9</v>
      </c>
      <c r="L1" s="5" t="s">
        <v>10</v>
      </c>
      <c r="M1" s="5" t="s">
        <v>11</v>
      </c>
      <c r="N1" s="5" t="s">
        <v>12</v>
      </c>
    </row>
    <row r="2" spans="1:14" x14ac:dyDescent="0.45">
      <c r="A2" s="1" t="s">
        <v>13</v>
      </c>
      <c r="B2" s="2">
        <v>44564</v>
      </c>
      <c r="C2" s="1" t="s">
        <v>14</v>
      </c>
      <c r="D2" s="1" t="s">
        <v>15</v>
      </c>
      <c r="E2" s="1" t="s">
        <v>16</v>
      </c>
      <c r="F2" s="1" t="s">
        <v>17</v>
      </c>
      <c r="G2" s="1" t="s">
        <v>18</v>
      </c>
      <c r="H2" s="1" t="s">
        <v>19</v>
      </c>
      <c r="I2" s="1" t="s">
        <v>20</v>
      </c>
      <c r="J2" s="1">
        <v>5</v>
      </c>
      <c r="K2" s="3">
        <v>80.92</v>
      </c>
      <c r="L2" s="4">
        <v>7.0000000000000007E-2</v>
      </c>
      <c r="M2" s="3">
        <v>376.26</v>
      </c>
      <c r="N2" s="3">
        <v>27.25</v>
      </c>
    </row>
    <row r="3" spans="1:14" x14ac:dyDescent="0.45">
      <c r="A3" s="1" t="s">
        <v>21</v>
      </c>
      <c r="B3" s="2">
        <v>44589</v>
      </c>
      <c r="C3" s="1" t="s">
        <v>14</v>
      </c>
      <c r="D3" s="1" t="s">
        <v>22</v>
      </c>
      <c r="E3" s="1" t="s">
        <v>23</v>
      </c>
      <c r="F3" s="1" t="s">
        <v>24</v>
      </c>
      <c r="G3" s="1" t="s">
        <v>25</v>
      </c>
      <c r="H3" s="1" t="s">
        <v>26</v>
      </c>
      <c r="I3" s="1" t="s">
        <v>27</v>
      </c>
      <c r="J3" s="1">
        <v>4</v>
      </c>
      <c r="K3" s="3">
        <v>1232.17</v>
      </c>
      <c r="L3" s="4">
        <v>0.1</v>
      </c>
      <c r="M3" s="3">
        <v>4435.8</v>
      </c>
      <c r="N3" s="3">
        <v>788.21</v>
      </c>
    </row>
    <row r="4" spans="1:14" x14ac:dyDescent="0.45">
      <c r="A4" s="1" t="s">
        <v>28</v>
      </c>
      <c r="B4" s="2">
        <v>44580</v>
      </c>
      <c r="C4" s="1" t="s">
        <v>29</v>
      </c>
      <c r="D4" s="1" t="s">
        <v>30</v>
      </c>
      <c r="E4" s="1" t="s">
        <v>31</v>
      </c>
      <c r="F4" s="1" t="s">
        <v>32</v>
      </c>
      <c r="G4" s="1" t="s">
        <v>33</v>
      </c>
      <c r="H4" s="1" t="s">
        <v>34</v>
      </c>
      <c r="I4" s="1" t="s">
        <v>35</v>
      </c>
      <c r="J4" s="1">
        <v>6</v>
      </c>
      <c r="K4" s="3">
        <v>45.79</v>
      </c>
      <c r="L4" s="4">
        <v>0.03</v>
      </c>
      <c r="M4" s="3">
        <v>266.48</v>
      </c>
      <c r="N4" s="3">
        <v>5.43</v>
      </c>
    </row>
    <row r="5" spans="1:14" x14ac:dyDescent="0.45">
      <c r="A5" s="1" t="s">
        <v>36</v>
      </c>
      <c r="B5" s="2">
        <v>44592</v>
      </c>
      <c r="C5" s="1" t="s">
        <v>29</v>
      </c>
      <c r="D5" s="1" t="s">
        <v>37</v>
      </c>
      <c r="E5" s="1" t="s">
        <v>38</v>
      </c>
      <c r="F5" s="1" t="s">
        <v>24</v>
      </c>
      <c r="G5" s="1" t="s">
        <v>18</v>
      </c>
      <c r="H5" s="1" t="s">
        <v>19</v>
      </c>
      <c r="I5" s="1" t="s">
        <v>39</v>
      </c>
      <c r="J5" s="1">
        <v>5</v>
      </c>
      <c r="K5" s="3">
        <v>74.260000000000005</v>
      </c>
      <c r="L5" s="4">
        <v>0.05</v>
      </c>
      <c r="M5" s="3">
        <v>352.74</v>
      </c>
      <c r="N5" s="3">
        <v>37.81</v>
      </c>
    </row>
    <row r="6" spans="1:14" x14ac:dyDescent="0.45">
      <c r="A6" s="1" t="s">
        <v>40</v>
      </c>
      <c r="B6" s="2">
        <v>44581</v>
      </c>
      <c r="C6" s="1" t="s">
        <v>29</v>
      </c>
      <c r="D6" s="1" t="s">
        <v>37</v>
      </c>
      <c r="E6" s="1" t="s">
        <v>41</v>
      </c>
      <c r="F6" s="1" t="s">
        <v>17</v>
      </c>
      <c r="G6" s="1" t="s">
        <v>25</v>
      </c>
      <c r="H6" s="1" t="s">
        <v>26</v>
      </c>
      <c r="I6" s="1" t="s">
        <v>42</v>
      </c>
      <c r="J6" s="1">
        <v>9</v>
      </c>
      <c r="K6" s="3">
        <v>74.5</v>
      </c>
      <c r="L6" s="4">
        <v>0</v>
      </c>
      <c r="M6" s="3">
        <v>670.48</v>
      </c>
      <c r="N6" s="3">
        <v>112.27</v>
      </c>
    </row>
    <row r="7" spans="1:14" x14ac:dyDescent="0.45">
      <c r="A7" s="1" t="s">
        <v>43</v>
      </c>
      <c r="B7" s="2">
        <v>44592</v>
      </c>
      <c r="C7" s="1" t="s">
        <v>29</v>
      </c>
      <c r="D7" s="1" t="s">
        <v>44</v>
      </c>
      <c r="E7" s="1" t="s">
        <v>45</v>
      </c>
      <c r="F7" s="1" t="s">
        <v>32</v>
      </c>
      <c r="G7" s="1" t="s">
        <v>46</v>
      </c>
      <c r="H7" s="1" t="s">
        <v>26</v>
      </c>
      <c r="I7" s="1" t="s">
        <v>35</v>
      </c>
      <c r="J7" s="1">
        <v>8</v>
      </c>
      <c r="K7" s="3">
        <v>25.83</v>
      </c>
      <c r="L7" s="4">
        <v>0.1</v>
      </c>
      <c r="M7" s="3">
        <v>185.99</v>
      </c>
      <c r="N7" s="3">
        <v>1.18</v>
      </c>
    </row>
    <row r="8" spans="1:14" x14ac:dyDescent="0.45">
      <c r="A8" s="1" t="s">
        <v>47</v>
      </c>
      <c r="B8" s="2">
        <v>44579</v>
      </c>
      <c r="C8" s="1" t="s">
        <v>48</v>
      </c>
      <c r="D8" s="1" t="s">
        <v>49</v>
      </c>
      <c r="E8" s="1" t="s">
        <v>16</v>
      </c>
      <c r="F8" s="1" t="s">
        <v>17</v>
      </c>
      <c r="G8" s="1" t="s">
        <v>50</v>
      </c>
      <c r="H8" s="1" t="s">
        <v>51</v>
      </c>
      <c r="I8" s="1" t="s">
        <v>39</v>
      </c>
      <c r="J8" s="1">
        <v>7</v>
      </c>
      <c r="K8" s="3">
        <v>263.48</v>
      </c>
      <c r="L8" s="4">
        <v>0.1</v>
      </c>
      <c r="M8" s="3">
        <v>1659.95</v>
      </c>
      <c r="N8" s="3">
        <v>384.54</v>
      </c>
    </row>
    <row r="9" spans="1:14" x14ac:dyDescent="0.45">
      <c r="A9" s="1" t="s">
        <v>52</v>
      </c>
      <c r="B9" s="2">
        <v>44586</v>
      </c>
      <c r="C9" s="1" t="s">
        <v>14</v>
      </c>
      <c r="D9" s="1" t="s">
        <v>22</v>
      </c>
      <c r="E9" s="1" t="s">
        <v>53</v>
      </c>
      <c r="F9" s="1" t="s">
        <v>32</v>
      </c>
      <c r="G9" s="1" t="s">
        <v>54</v>
      </c>
      <c r="H9" s="1" t="s">
        <v>51</v>
      </c>
      <c r="I9" s="1" t="s">
        <v>35</v>
      </c>
      <c r="J9" s="1">
        <v>2</v>
      </c>
      <c r="K9" s="3">
        <v>1315.66</v>
      </c>
      <c r="L9" s="4">
        <v>7.0000000000000007E-2</v>
      </c>
      <c r="M9" s="3">
        <v>2447.13</v>
      </c>
      <c r="N9" s="3">
        <v>474.42</v>
      </c>
    </row>
    <row r="10" spans="1:14" x14ac:dyDescent="0.45">
      <c r="A10" s="1" t="s">
        <v>55</v>
      </c>
      <c r="B10" s="2">
        <v>44589</v>
      </c>
      <c r="C10" s="1" t="s">
        <v>29</v>
      </c>
      <c r="D10" s="1" t="s">
        <v>37</v>
      </c>
      <c r="E10" s="1" t="s">
        <v>56</v>
      </c>
      <c r="F10" s="1" t="s">
        <v>32</v>
      </c>
      <c r="G10" s="1" t="s">
        <v>57</v>
      </c>
      <c r="H10" s="1" t="s">
        <v>51</v>
      </c>
      <c r="I10" s="1" t="s">
        <v>20</v>
      </c>
      <c r="J10" s="1">
        <v>9</v>
      </c>
      <c r="K10" s="3">
        <v>68.45</v>
      </c>
      <c r="L10" s="4">
        <v>7.0000000000000007E-2</v>
      </c>
      <c r="M10" s="3">
        <v>572.96</v>
      </c>
      <c r="N10" s="3">
        <v>71.72</v>
      </c>
    </row>
    <row r="11" spans="1:14" x14ac:dyDescent="0.45">
      <c r="A11" s="1" t="s">
        <v>58</v>
      </c>
      <c r="B11" s="2">
        <v>44582</v>
      </c>
      <c r="C11" s="1" t="s">
        <v>29</v>
      </c>
      <c r="D11" s="1" t="s">
        <v>44</v>
      </c>
      <c r="E11" s="1" t="s">
        <v>56</v>
      </c>
      <c r="F11" s="1" t="s">
        <v>24</v>
      </c>
      <c r="G11" s="1" t="s">
        <v>25</v>
      </c>
      <c r="H11" s="1" t="s">
        <v>26</v>
      </c>
      <c r="I11" s="1" t="s">
        <v>39</v>
      </c>
      <c r="J11" s="1">
        <v>4</v>
      </c>
      <c r="K11" s="3">
        <v>27.75</v>
      </c>
      <c r="L11" s="4">
        <v>0</v>
      </c>
      <c r="M11" s="3">
        <v>110.99</v>
      </c>
      <c r="N11" s="3">
        <v>0.18</v>
      </c>
    </row>
    <row r="12" spans="1:14" x14ac:dyDescent="0.45">
      <c r="A12" s="1" t="s">
        <v>59</v>
      </c>
      <c r="B12" s="2">
        <v>44588</v>
      </c>
      <c r="C12" s="1" t="s">
        <v>48</v>
      </c>
      <c r="D12" s="1" t="s">
        <v>49</v>
      </c>
      <c r="E12" s="1" t="s">
        <v>60</v>
      </c>
      <c r="F12" s="1" t="s">
        <v>24</v>
      </c>
      <c r="G12" s="1" t="s">
        <v>61</v>
      </c>
      <c r="H12" s="1" t="s">
        <v>51</v>
      </c>
      <c r="I12" s="1" t="s">
        <v>39</v>
      </c>
      <c r="J12" s="1">
        <v>5</v>
      </c>
      <c r="K12" s="3">
        <v>304.29000000000002</v>
      </c>
      <c r="L12" s="4">
        <v>0</v>
      </c>
      <c r="M12" s="3">
        <v>1521.44</v>
      </c>
      <c r="N12" s="3">
        <v>359.27</v>
      </c>
    </row>
    <row r="13" spans="1:14" x14ac:dyDescent="0.45">
      <c r="A13" s="1" t="s">
        <v>62</v>
      </c>
      <c r="B13" s="2">
        <v>44587</v>
      </c>
      <c r="C13" s="1" t="s">
        <v>29</v>
      </c>
      <c r="D13" s="1" t="s">
        <v>37</v>
      </c>
      <c r="E13" s="1" t="s">
        <v>63</v>
      </c>
      <c r="F13" s="1" t="s">
        <v>32</v>
      </c>
      <c r="G13" s="1" t="s">
        <v>46</v>
      </c>
      <c r="H13" s="1" t="s">
        <v>26</v>
      </c>
      <c r="I13" s="1" t="s">
        <v>39</v>
      </c>
      <c r="J13" s="1">
        <v>7</v>
      </c>
      <c r="K13" s="3">
        <v>67.17</v>
      </c>
      <c r="L13" s="4">
        <v>0.1</v>
      </c>
      <c r="M13" s="3">
        <v>423.14</v>
      </c>
      <c r="N13" s="3">
        <v>82.12</v>
      </c>
    </row>
    <row r="14" spans="1:14" x14ac:dyDescent="0.45">
      <c r="A14" s="1" t="s">
        <v>64</v>
      </c>
      <c r="B14" s="2">
        <v>44587</v>
      </c>
      <c r="C14" s="1" t="s">
        <v>14</v>
      </c>
      <c r="D14" s="1" t="s">
        <v>15</v>
      </c>
      <c r="E14" s="1" t="s">
        <v>65</v>
      </c>
      <c r="F14" s="1" t="s">
        <v>24</v>
      </c>
      <c r="G14" s="1" t="s">
        <v>66</v>
      </c>
      <c r="H14" s="1" t="s">
        <v>26</v>
      </c>
      <c r="I14" s="1" t="s">
        <v>67</v>
      </c>
      <c r="J14" s="1">
        <v>8</v>
      </c>
      <c r="K14" s="3">
        <v>81.2</v>
      </c>
      <c r="L14" s="4">
        <v>0</v>
      </c>
      <c r="M14" s="3">
        <v>649.57000000000005</v>
      </c>
      <c r="N14" s="3">
        <v>85.88</v>
      </c>
    </row>
    <row r="15" spans="1:14" x14ac:dyDescent="0.45">
      <c r="A15" s="1" t="s">
        <v>68</v>
      </c>
      <c r="B15" s="2">
        <v>44589</v>
      </c>
      <c r="C15" s="1" t="s">
        <v>14</v>
      </c>
      <c r="D15" s="1" t="s">
        <v>15</v>
      </c>
      <c r="E15" s="1" t="s">
        <v>69</v>
      </c>
      <c r="F15" s="1" t="s">
        <v>17</v>
      </c>
      <c r="G15" s="1" t="s">
        <v>46</v>
      </c>
      <c r="H15" s="1" t="s">
        <v>26</v>
      </c>
      <c r="I15" s="1" t="s">
        <v>27</v>
      </c>
      <c r="J15" s="1">
        <v>13</v>
      </c>
      <c r="K15" s="3">
        <v>80.63</v>
      </c>
      <c r="L15" s="4">
        <v>0.03</v>
      </c>
      <c r="M15" s="3">
        <v>1016.8</v>
      </c>
      <c r="N15" s="3">
        <v>233.58</v>
      </c>
    </row>
    <row r="16" spans="1:14" x14ac:dyDescent="0.45">
      <c r="A16" s="1" t="s">
        <v>70</v>
      </c>
      <c r="B16" s="2">
        <v>44610</v>
      </c>
      <c r="C16" s="1" t="s">
        <v>14</v>
      </c>
      <c r="D16" s="1" t="s">
        <v>15</v>
      </c>
      <c r="E16" s="1" t="s">
        <v>41</v>
      </c>
      <c r="F16" s="1" t="s">
        <v>24</v>
      </c>
      <c r="G16" s="1" t="s">
        <v>57</v>
      </c>
      <c r="H16" s="1" t="s">
        <v>51</v>
      </c>
      <c r="I16" s="1" t="s">
        <v>20</v>
      </c>
      <c r="J16" s="1">
        <v>6</v>
      </c>
      <c r="K16" s="3">
        <v>79.2</v>
      </c>
      <c r="L16" s="4">
        <v>7.0000000000000007E-2</v>
      </c>
      <c r="M16" s="3">
        <v>441.91</v>
      </c>
      <c r="N16" s="3">
        <v>35.78</v>
      </c>
    </row>
    <row r="17" spans="1:14" x14ac:dyDescent="0.45">
      <c r="A17" s="1" t="s">
        <v>71</v>
      </c>
      <c r="B17" s="2">
        <v>44595</v>
      </c>
      <c r="C17" s="1" t="s">
        <v>14</v>
      </c>
      <c r="D17" s="1" t="s">
        <v>15</v>
      </c>
      <c r="E17" s="1" t="s">
        <v>65</v>
      </c>
      <c r="F17" s="1" t="s">
        <v>32</v>
      </c>
      <c r="G17" s="1" t="s">
        <v>25</v>
      </c>
      <c r="H17" s="1" t="s">
        <v>26</v>
      </c>
      <c r="I17" s="1" t="s">
        <v>42</v>
      </c>
      <c r="J17" s="1">
        <v>13</v>
      </c>
      <c r="K17" s="3">
        <v>83.28</v>
      </c>
      <c r="L17" s="4">
        <v>7.0000000000000007E-2</v>
      </c>
      <c r="M17" s="3">
        <v>1006.9</v>
      </c>
      <c r="N17" s="3">
        <v>249.2</v>
      </c>
    </row>
    <row r="18" spans="1:14" x14ac:dyDescent="0.45">
      <c r="A18" s="1" t="s">
        <v>72</v>
      </c>
      <c r="B18" s="2">
        <v>44594</v>
      </c>
      <c r="C18" s="1" t="s">
        <v>29</v>
      </c>
      <c r="D18" s="1" t="s">
        <v>30</v>
      </c>
      <c r="E18" s="1" t="s">
        <v>73</v>
      </c>
      <c r="F18" s="1" t="s">
        <v>17</v>
      </c>
      <c r="G18" s="1" t="s">
        <v>74</v>
      </c>
      <c r="H18" s="1" t="s">
        <v>26</v>
      </c>
      <c r="I18" s="1" t="s">
        <v>67</v>
      </c>
      <c r="J18" s="1">
        <v>9</v>
      </c>
      <c r="K18" s="3">
        <v>38.619999999999997</v>
      </c>
      <c r="L18" s="4">
        <v>0.1</v>
      </c>
      <c r="M18" s="3">
        <v>312.81</v>
      </c>
      <c r="N18" s="3">
        <v>33.86</v>
      </c>
    </row>
    <row r="19" spans="1:14" x14ac:dyDescent="0.45">
      <c r="A19" s="1" t="s">
        <v>75</v>
      </c>
      <c r="B19" s="2">
        <v>44620</v>
      </c>
      <c r="C19" s="1" t="s">
        <v>29</v>
      </c>
      <c r="D19" s="1" t="s">
        <v>30</v>
      </c>
      <c r="E19" s="1" t="s">
        <v>16</v>
      </c>
      <c r="F19" s="1" t="s">
        <v>32</v>
      </c>
      <c r="G19" s="1" t="s">
        <v>50</v>
      </c>
      <c r="H19" s="1" t="s">
        <v>51</v>
      </c>
      <c r="I19" s="1" t="s">
        <v>42</v>
      </c>
      <c r="J19" s="1">
        <v>17</v>
      </c>
      <c r="K19" s="3">
        <v>41.88</v>
      </c>
      <c r="L19" s="4">
        <v>0</v>
      </c>
      <c r="M19" s="3">
        <v>711.99</v>
      </c>
      <c r="N19" s="3">
        <v>77.67</v>
      </c>
    </row>
    <row r="20" spans="1:14" x14ac:dyDescent="0.45">
      <c r="A20" s="1" t="s">
        <v>76</v>
      </c>
      <c r="B20" s="2">
        <v>44594</v>
      </c>
      <c r="C20" s="1" t="s">
        <v>29</v>
      </c>
      <c r="D20" s="1" t="s">
        <v>30</v>
      </c>
      <c r="E20" s="1" t="s">
        <v>31</v>
      </c>
      <c r="F20" s="1" t="s">
        <v>17</v>
      </c>
      <c r="G20" s="1" t="s">
        <v>57</v>
      </c>
      <c r="H20" s="1" t="s">
        <v>51</v>
      </c>
      <c r="I20" s="1" t="s">
        <v>27</v>
      </c>
      <c r="J20" s="1">
        <v>5</v>
      </c>
      <c r="K20" s="3">
        <v>41.92</v>
      </c>
      <c r="L20" s="4">
        <v>0.03</v>
      </c>
      <c r="M20" s="3">
        <v>203.32</v>
      </c>
      <c r="N20" s="3">
        <v>-1.2</v>
      </c>
    </row>
    <row r="21" spans="1:14" x14ac:dyDescent="0.45">
      <c r="A21" s="1" t="s">
        <v>77</v>
      </c>
      <c r="B21" s="2">
        <v>44614</v>
      </c>
      <c r="C21" s="1" t="s">
        <v>48</v>
      </c>
      <c r="D21" s="1" t="s">
        <v>78</v>
      </c>
      <c r="E21" s="1" t="s">
        <v>38</v>
      </c>
      <c r="F21" s="1" t="s">
        <v>32</v>
      </c>
      <c r="G21" s="1" t="s">
        <v>66</v>
      </c>
      <c r="H21" s="1" t="s">
        <v>26</v>
      </c>
      <c r="I21" s="1" t="s">
        <v>42</v>
      </c>
      <c r="J21" s="1">
        <v>6</v>
      </c>
      <c r="K21" s="3">
        <v>464.16</v>
      </c>
      <c r="L21" s="4">
        <v>0</v>
      </c>
      <c r="M21" s="3">
        <v>2784.95</v>
      </c>
      <c r="N21" s="3">
        <v>544.59</v>
      </c>
    </row>
    <row r="22" spans="1:14" x14ac:dyDescent="0.45">
      <c r="A22" s="1" t="s">
        <v>79</v>
      </c>
      <c r="B22" s="2">
        <v>44617</v>
      </c>
      <c r="C22" s="1" t="s">
        <v>14</v>
      </c>
      <c r="D22" s="1" t="s">
        <v>80</v>
      </c>
      <c r="E22" s="1" t="s">
        <v>81</v>
      </c>
      <c r="F22" s="1" t="s">
        <v>32</v>
      </c>
      <c r="G22" s="1" t="s">
        <v>33</v>
      </c>
      <c r="H22" s="1" t="s">
        <v>34</v>
      </c>
      <c r="I22" s="1" t="s">
        <v>20</v>
      </c>
      <c r="J22" s="1">
        <v>2</v>
      </c>
      <c r="K22" s="3">
        <v>368.97</v>
      </c>
      <c r="L22" s="4">
        <v>7.0000000000000007E-2</v>
      </c>
      <c r="M22" s="3">
        <v>686.29</v>
      </c>
      <c r="N22" s="3">
        <v>29.58</v>
      </c>
    </row>
    <row r="23" spans="1:14" x14ac:dyDescent="0.45">
      <c r="A23" s="1" t="s">
        <v>82</v>
      </c>
      <c r="B23" s="2">
        <v>44593</v>
      </c>
      <c r="C23" s="1" t="s">
        <v>14</v>
      </c>
      <c r="D23" s="1" t="s">
        <v>22</v>
      </c>
      <c r="E23" s="1" t="s">
        <v>45</v>
      </c>
      <c r="F23" s="1" t="s">
        <v>32</v>
      </c>
      <c r="G23" s="1" t="s">
        <v>25</v>
      </c>
      <c r="H23" s="1" t="s">
        <v>26</v>
      </c>
      <c r="I23" s="1" t="s">
        <v>39</v>
      </c>
      <c r="J23" s="1">
        <v>8</v>
      </c>
      <c r="K23" s="3">
        <v>1186.3399999999999</v>
      </c>
      <c r="L23" s="4">
        <v>0.05</v>
      </c>
      <c r="M23" s="3">
        <v>9016.18</v>
      </c>
      <c r="N23" s="3">
        <v>1950.62</v>
      </c>
    </row>
    <row r="24" spans="1:14" x14ac:dyDescent="0.45">
      <c r="A24" s="1" t="s">
        <v>83</v>
      </c>
      <c r="B24" s="2">
        <v>44617</v>
      </c>
      <c r="C24" s="1" t="s">
        <v>29</v>
      </c>
      <c r="D24" s="1" t="s">
        <v>44</v>
      </c>
      <c r="E24" s="1" t="s">
        <v>65</v>
      </c>
      <c r="F24" s="1" t="s">
        <v>32</v>
      </c>
      <c r="G24" s="1" t="s">
        <v>57</v>
      </c>
      <c r="H24" s="1" t="s">
        <v>51</v>
      </c>
      <c r="I24" s="1" t="s">
        <v>42</v>
      </c>
      <c r="J24" s="1">
        <v>17</v>
      </c>
      <c r="K24" s="3">
        <v>24.3</v>
      </c>
      <c r="L24" s="4">
        <v>0.03</v>
      </c>
      <c r="M24" s="3">
        <v>400.73</v>
      </c>
      <c r="N24" s="3">
        <v>55.04</v>
      </c>
    </row>
    <row r="25" spans="1:14" x14ac:dyDescent="0.45">
      <c r="A25" s="1" t="s">
        <v>84</v>
      </c>
      <c r="B25" s="2">
        <v>44595</v>
      </c>
      <c r="C25" s="1" t="s">
        <v>14</v>
      </c>
      <c r="D25" s="1" t="s">
        <v>15</v>
      </c>
      <c r="E25" s="1" t="s">
        <v>38</v>
      </c>
      <c r="F25" s="1" t="s">
        <v>17</v>
      </c>
      <c r="G25" s="1" t="s">
        <v>46</v>
      </c>
      <c r="H25" s="1" t="s">
        <v>26</v>
      </c>
      <c r="I25" s="1" t="s">
        <v>67</v>
      </c>
      <c r="J25" s="1">
        <v>17</v>
      </c>
      <c r="K25" s="3">
        <v>79.14</v>
      </c>
      <c r="L25" s="4">
        <v>7.0000000000000007E-2</v>
      </c>
      <c r="M25" s="3">
        <v>1251.24</v>
      </c>
      <c r="N25" s="3">
        <v>207.56</v>
      </c>
    </row>
    <row r="26" spans="1:14" x14ac:dyDescent="0.45">
      <c r="A26" s="1" t="s">
        <v>85</v>
      </c>
      <c r="B26" s="2">
        <v>44595</v>
      </c>
      <c r="C26" s="1" t="s">
        <v>14</v>
      </c>
      <c r="D26" s="1" t="s">
        <v>22</v>
      </c>
      <c r="E26" s="1" t="s">
        <v>41</v>
      </c>
      <c r="F26" s="1" t="s">
        <v>24</v>
      </c>
      <c r="G26" s="1" t="s">
        <v>74</v>
      </c>
      <c r="H26" s="1" t="s">
        <v>26</v>
      </c>
      <c r="I26" s="1" t="s">
        <v>20</v>
      </c>
      <c r="J26" s="1">
        <v>7</v>
      </c>
      <c r="K26" s="3">
        <v>1090.73</v>
      </c>
      <c r="L26" s="4">
        <v>7.0000000000000007E-2</v>
      </c>
      <c r="M26" s="3">
        <v>7100.68</v>
      </c>
      <c r="N26" s="3">
        <v>1058.07</v>
      </c>
    </row>
    <row r="27" spans="1:14" x14ac:dyDescent="0.45">
      <c r="A27" s="1" t="s">
        <v>86</v>
      </c>
      <c r="B27" s="2">
        <v>44599</v>
      </c>
      <c r="C27" s="1" t="s">
        <v>29</v>
      </c>
      <c r="D27" s="1" t="s">
        <v>37</v>
      </c>
      <c r="E27" s="1" t="s">
        <v>87</v>
      </c>
      <c r="F27" s="1" t="s">
        <v>24</v>
      </c>
      <c r="G27" s="1" t="s">
        <v>74</v>
      </c>
      <c r="H27" s="1" t="s">
        <v>26</v>
      </c>
      <c r="I27" s="1" t="s">
        <v>35</v>
      </c>
      <c r="J27" s="1">
        <v>10</v>
      </c>
      <c r="K27" s="3">
        <v>66.25</v>
      </c>
      <c r="L27" s="4">
        <v>0.1</v>
      </c>
      <c r="M27" s="3">
        <v>596.27</v>
      </c>
      <c r="N27" s="3">
        <v>94.95</v>
      </c>
    </row>
    <row r="28" spans="1:14" x14ac:dyDescent="0.45">
      <c r="A28" s="1" t="s">
        <v>88</v>
      </c>
      <c r="B28" s="2">
        <v>44601</v>
      </c>
      <c r="C28" s="1" t="s">
        <v>48</v>
      </c>
      <c r="D28" s="1" t="s">
        <v>78</v>
      </c>
      <c r="E28" s="1" t="s">
        <v>89</v>
      </c>
      <c r="F28" s="1" t="s">
        <v>32</v>
      </c>
      <c r="G28" s="1" t="s">
        <v>18</v>
      </c>
      <c r="H28" s="1" t="s">
        <v>19</v>
      </c>
      <c r="I28" s="1" t="s">
        <v>27</v>
      </c>
      <c r="J28" s="1">
        <v>1</v>
      </c>
      <c r="K28" s="3">
        <v>410.2</v>
      </c>
      <c r="L28" s="4">
        <v>7.0000000000000007E-2</v>
      </c>
      <c r="M28" s="3">
        <v>381.49</v>
      </c>
      <c r="N28" s="3">
        <v>73.260000000000005</v>
      </c>
    </row>
    <row r="29" spans="1:14" x14ac:dyDescent="0.45">
      <c r="A29" s="1" t="s">
        <v>90</v>
      </c>
      <c r="B29" s="2">
        <v>44616</v>
      </c>
      <c r="C29" s="1" t="s">
        <v>48</v>
      </c>
      <c r="D29" s="1" t="s">
        <v>91</v>
      </c>
      <c r="E29" s="1" t="s">
        <v>92</v>
      </c>
      <c r="F29" s="1" t="s">
        <v>17</v>
      </c>
      <c r="G29" s="1" t="s">
        <v>33</v>
      </c>
      <c r="H29" s="1" t="s">
        <v>34</v>
      </c>
      <c r="I29" s="1" t="s">
        <v>20</v>
      </c>
      <c r="J29" s="1">
        <v>6</v>
      </c>
      <c r="K29" s="3">
        <v>551.84</v>
      </c>
      <c r="L29" s="4">
        <v>0.05</v>
      </c>
      <c r="M29" s="3">
        <v>3145.49</v>
      </c>
      <c r="N29" s="3">
        <v>633.4</v>
      </c>
    </row>
    <row r="30" spans="1:14" x14ac:dyDescent="0.45">
      <c r="A30" s="1" t="s">
        <v>93</v>
      </c>
      <c r="B30" s="2">
        <v>44648</v>
      </c>
      <c r="C30" s="1" t="s">
        <v>48</v>
      </c>
      <c r="D30" s="1" t="s">
        <v>78</v>
      </c>
      <c r="E30" s="1" t="s">
        <v>63</v>
      </c>
      <c r="F30" s="1" t="s">
        <v>17</v>
      </c>
      <c r="G30" s="1" t="s">
        <v>18</v>
      </c>
      <c r="H30" s="1" t="s">
        <v>19</v>
      </c>
      <c r="I30" s="1" t="s">
        <v>35</v>
      </c>
      <c r="J30" s="1">
        <v>2</v>
      </c>
      <c r="K30" s="3">
        <v>448.61</v>
      </c>
      <c r="L30" s="4">
        <v>0.1</v>
      </c>
      <c r="M30" s="3">
        <v>807.49</v>
      </c>
      <c r="N30" s="3">
        <v>137.31</v>
      </c>
    </row>
    <row r="31" spans="1:14" x14ac:dyDescent="0.45">
      <c r="A31" s="1" t="s">
        <v>94</v>
      </c>
      <c r="B31" s="2">
        <v>44623</v>
      </c>
      <c r="C31" s="1" t="s">
        <v>14</v>
      </c>
      <c r="D31" s="1" t="s">
        <v>15</v>
      </c>
      <c r="E31" s="1" t="s">
        <v>95</v>
      </c>
      <c r="F31" s="1" t="s">
        <v>24</v>
      </c>
      <c r="G31" s="1" t="s">
        <v>46</v>
      </c>
      <c r="H31" s="1" t="s">
        <v>26</v>
      </c>
      <c r="I31" s="1" t="s">
        <v>42</v>
      </c>
      <c r="J31" s="1">
        <v>10</v>
      </c>
      <c r="K31" s="3">
        <v>81.67</v>
      </c>
      <c r="L31" s="4">
        <v>0.03</v>
      </c>
      <c r="M31" s="3">
        <v>792.2</v>
      </c>
      <c r="N31" s="3">
        <v>148.22</v>
      </c>
    </row>
    <row r="32" spans="1:14" x14ac:dyDescent="0.45">
      <c r="A32" s="1" t="s">
        <v>96</v>
      </c>
      <c r="B32" s="2">
        <v>44651</v>
      </c>
      <c r="C32" s="1" t="s">
        <v>48</v>
      </c>
      <c r="D32" s="1" t="s">
        <v>91</v>
      </c>
      <c r="E32" s="1" t="s">
        <v>38</v>
      </c>
      <c r="F32" s="1" t="s">
        <v>17</v>
      </c>
      <c r="G32" s="1" t="s">
        <v>18</v>
      </c>
      <c r="H32" s="1" t="s">
        <v>19</v>
      </c>
      <c r="I32" s="1" t="s">
        <v>35</v>
      </c>
      <c r="J32" s="1">
        <v>3</v>
      </c>
      <c r="K32" s="3">
        <v>524.48</v>
      </c>
      <c r="L32" s="4">
        <v>0.03</v>
      </c>
      <c r="M32" s="3">
        <v>1526.23</v>
      </c>
      <c r="N32" s="3">
        <v>190.58</v>
      </c>
    </row>
    <row r="33" spans="1:14" x14ac:dyDescent="0.45">
      <c r="A33" s="1" t="s">
        <v>97</v>
      </c>
      <c r="B33" s="2">
        <v>44627</v>
      </c>
      <c r="C33" s="1" t="s">
        <v>29</v>
      </c>
      <c r="D33" s="1" t="s">
        <v>37</v>
      </c>
      <c r="E33" s="1" t="s">
        <v>63</v>
      </c>
      <c r="F33" s="1" t="s">
        <v>17</v>
      </c>
      <c r="G33" s="1" t="s">
        <v>54</v>
      </c>
      <c r="H33" s="1" t="s">
        <v>51</v>
      </c>
      <c r="I33" s="1" t="s">
        <v>42</v>
      </c>
      <c r="J33" s="1">
        <v>6</v>
      </c>
      <c r="K33" s="3">
        <v>88.15</v>
      </c>
      <c r="L33" s="4">
        <v>0.03</v>
      </c>
      <c r="M33" s="3">
        <v>513.04</v>
      </c>
      <c r="N33" s="3">
        <v>96.71</v>
      </c>
    </row>
    <row r="34" spans="1:14" x14ac:dyDescent="0.45">
      <c r="A34" s="1" t="s">
        <v>98</v>
      </c>
      <c r="B34" s="2">
        <v>44638</v>
      </c>
      <c r="C34" s="1" t="s">
        <v>14</v>
      </c>
      <c r="D34" s="1" t="s">
        <v>80</v>
      </c>
      <c r="E34" s="1" t="s">
        <v>38</v>
      </c>
      <c r="F34" s="1" t="s">
        <v>32</v>
      </c>
      <c r="G34" s="1" t="s">
        <v>46</v>
      </c>
      <c r="H34" s="1" t="s">
        <v>26</v>
      </c>
      <c r="I34" s="1" t="s">
        <v>20</v>
      </c>
      <c r="J34" s="1">
        <v>4</v>
      </c>
      <c r="K34" s="3">
        <v>333.99</v>
      </c>
      <c r="L34" s="4">
        <v>0.03</v>
      </c>
      <c r="M34" s="3">
        <v>1295.8800000000001</v>
      </c>
      <c r="N34" s="3">
        <v>197.57</v>
      </c>
    </row>
    <row r="35" spans="1:14" x14ac:dyDescent="0.45">
      <c r="A35" s="1" t="s">
        <v>99</v>
      </c>
      <c r="B35" s="2">
        <v>44638</v>
      </c>
      <c r="C35" s="1" t="s">
        <v>48</v>
      </c>
      <c r="D35" s="1" t="s">
        <v>78</v>
      </c>
      <c r="E35" s="1" t="s">
        <v>16</v>
      </c>
      <c r="F35" s="1" t="s">
        <v>17</v>
      </c>
      <c r="G35" s="1" t="s">
        <v>33</v>
      </c>
      <c r="H35" s="1" t="s">
        <v>34</v>
      </c>
      <c r="I35" s="1" t="s">
        <v>20</v>
      </c>
      <c r="J35" s="1">
        <v>7</v>
      </c>
      <c r="K35" s="3">
        <v>453.24</v>
      </c>
      <c r="L35" s="4">
        <v>0.1</v>
      </c>
      <c r="M35" s="3">
        <v>2855.41</v>
      </c>
      <c r="N35" s="3">
        <v>665.13</v>
      </c>
    </row>
    <row r="36" spans="1:14" x14ac:dyDescent="0.45">
      <c r="A36" s="1" t="s">
        <v>100</v>
      </c>
      <c r="B36" s="2">
        <v>44641</v>
      </c>
      <c r="C36" s="1" t="s">
        <v>48</v>
      </c>
      <c r="D36" s="1" t="s">
        <v>78</v>
      </c>
      <c r="E36" s="1" t="s">
        <v>81</v>
      </c>
      <c r="F36" s="1" t="s">
        <v>17</v>
      </c>
      <c r="G36" s="1" t="s">
        <v>25</v>
      </c>
      <c r="H36" s="1" t="s">
        <v>26</v>
      </c>
      <c r="I36" s="1" t="s">
        <v>42</v>
      </c>
      <c r="J36" s="1">
        <v>2</v>
      </c>
      <c r="K36" s="3">
        <v>431.24</v>
      </c>
      <c r="L36" s="4">
        <v>0</v>
      </c>
      <c r="M36" s="3">
        <v>862.49</v>
      </c>
      <c r="N36" s="3">
        <v>179.94</v>
      </c>
    </row>
    <row r="37" spans="1:14" x14ac:dyDescent="0.45">
      <c r="A37" s="1" t="s">
        <v>101</v>
      </c>
      <c r="B37" s="2">
        <v>44631</v>
      </c>
      <c r="C37" s="1" t="s">
        <v>29</v>
      </c>
      <c r="D37" s="1" t="s">
        <v>44</v>
      </c>
      <c r="E37" s="1" t="s">
        <v>16</v>
      </c>
      <c r="F37" s="1" t="s">
        <v>17</v>
      </c>
      <c r="G37" s="1" t="s">
        <v>25</v>
      </c>
      <c r="H37" s="1" t="s">
        <v>26</v>
      </c>
      <c r="I37" s="1" t="s">
        <v>42</v>
      </c>
      <c r="J37" s="1">
        <v>8</v>
      </c>
      <c r="K37" s="3">
        <v>28.14</v>
      </c>
      <c r="L37" s="4">
        <v>0.03</v>
      </c>
      <c r="M37" s="3">
        <v>218.4</v>
      </c>
      <c r="N37" s="3">
        <v>-8.59</v>
      </c>
    </row>
    <row r="38" spans="1:14" x14ac:dyDescent="0.45">
      <c r="A38" s="1" t="s">
        <v>102</v>
      </c>
      <c r="B38" s="2">
        <v>44645</v>
      </c>
      <c r="C38" s="1" t="s">
        <v>29</v>
      </c>
      <c r="D38" s="1" t="s">
        <v>37</v>
      </c>
      <c r="E38" s="1" t="s">
        <v>60</v>
      </c>
      <c r="F38" s="1" t="s">
        <v>24</v>
      </c>
      <c r="G38" s="1" t="s">
        <v>50</v>
      </c>
      <c r="H38" s="1" t="s">
        <v>51</v>
      </c>
      <c r="I38" s="1" t="s">
        <v>67</v>
      </c>
      <c r="J38" s="1">
        <v>12</v>
      </c>
      <c r="K38" s="3">
        <v>79.540000000000006</v>
      </c>
      <c r="L38" s="4">
        <v>0</v>
      </c>
      <c r="M38" s="3">
        <v>954.51</v>
      </c>
      <c r="N38" s="3">
        <v>214.55</v>
      </c>
    </row>
    <row r="39" spans="1:14" x14ac:dyDescent="0.45">
      <c r="A39" s="1" t="s">
        <v>103</v>
      </c>
      <c r="B39" s="2">
        <v>44629</v>
      </c>
      <c r="C39" s="1" t="s">
        <v>29</v>
      </c>
      <c r="D39" s="1" t="s">
        <v>30</v>
      </c>
      <c r="E39" s="1" t="s">
        <v>104</v>
      </c>
      <c r="F39" s="1" t="s">
        <v>32</v>
      </c>
      <c r="G39" s="1" t="s">
        <v>66</v>
      </c>
      <c r="H39" s="1" t="s">
        <v>26</v>
      </c>
      <c r="I39" s="1" t="s">
        <v>35</v>
      </c>
      <c r="J39" s="1">
        <v>12</v>
      </c>
      <c r="K39" s="3">
        <v>47.68</v>
      </c>
      <c r="L39" s="4">
        <v>7.0000000000000007E-2</v>
      </c>
      <c r="M39" s="3">
        <v>532.11</v>
      </c>
      <c r="N39" s="3">
        <v>14.42</v>
      </c>
    </row>
    <row r="40" spans="1:14" x14ac:dyDescent="0.45">
      <c r="A40" s="1" t="s">
        <v>105</v>
      </c>
      <c r="B40" s="2">
        <v>44648</v>
      </c>
      <c r="C40" s="1" t="s">
        <v>29</v>
      </c>
      <c r="D40" s="1" t="s">
        <v>30</v>
      </c>
      <c r="E40" s="1" t="s">
        <v>106</v>
      </c>
      <c r="F40" s="1" t="s">
        <v>24</v>
      </c>
      <c r="G40" s="1" t="s">
        <v>61</v>
      </c>
      <c r="H40" s="1" t="s">
        <v>51</v>
      </c>
      <c r="I40" s="1" t="s">
        <v>67</v>
      </c>
      <c r="J40" s="1">
        <v>8</v>
      </c>
      <c r="K40" s="3">
        <v>46.32</v>
      </c>
      <c r="L40" s="4">
        <v>0</v>
      </c>
      <c r="M40" s="3">
        <v>370.6</v>
      </c>
      <c r="N40" s="3">
        <v>20.079999999999998</v>
      </c>
    </row>
    <row r="41" spans="1:14" x14ac:dyDescent="0.45">
      <c r="A41" s="1" t="s">
        <v>107</v>
      </c>
      <c r="B41" s="2">
        <v>44638</v>
      </c>
      <c r="C41" s="1" t="s">
        <v>29</v>
      </c>
      <c r="D41" s="1" t="s">
        <v>37</v>
      </c>
      <c r="E41" s="1" t="s">
        <v>65</v>
      </c>
      <c r="F41" s="1" t="s">
        <v>24</v>
      </c>
      <c r="G41" s="1" t="s">
        <v>66</v>
      </c>
      <c r="H41" s="1" t="s">
        <v>26</v>
      </c>
      <c r="I41" s="1" t="s">
        <v>35</v>
      </c>
      <c r="J41" s="1">
        <v>15</v>
      </c>
      <c r="K41" s="3">
        <v>78.239999999999995</v>
      </c>
      <c r="L41" s="4">
        <v>0.1</v>
      </c>
      <c r="M41" s="3">
        <v>1056.27</v>
      </c>
      <c r="N41" s="3">
        <v>191.31</v>
      </c>
    </row>
    <row r="42" spans="1:14" x14ac:dyDescent="0.45">
      <c r="A42" s="1" t="s">
        <v>108</v>
      </c>
      <c r="B42" s="2">
        <v>44645</v>
      </c>
      <c r="C42" s="1" t="s">
        <v>48</v>
      </c>
      <c r="D42" s="1" t="s">
        <v>91</v>
      </c>
      <c r="E42" s="1" t="s">
        <v>104</v>
      </c>
      <c r="F42" s="1" t="s">
        <v>24</v>
      </c>
      <c r="G42" s="1" t="s">
        <v>33</v>
      </c>
      <c r="H42" s="1" t="s">
        <v>34</v>
      </c>
      <c r="I42" s="1" t="s">
        <v>35</v>
      </c>
      <c r="J42" s="1">
        <v>7</v>
      </c>
      <c r="K42" s="3">
        <v>590.65</v>
      </c>
      <c r="L42" s="4">
        <v>0</v>
      </c>
      <c r="M42" s="3">
        <v>4134.57</v>
      </c>
      <c r="N42" s="3">
        <v>725.44</v>
      </c>
    </row>
    <row r="43" spans="1:14" x14ac:dyDescent="0.45">
      <c r="A43" s="1" t="s">
        <v>109</v>
      </c>
      <c r="B43" s="2">
        <v>44643</v>
      </c>
      <c r="C43" s="1" t="s">
        <v>48</v>
      </c>
      <c r="D43" s="1" t="s">
        <v>78</v>
      </c>
      <c r="E43" s="1" t="s">
        <v>89</v>
      </c>
      <c r="F43" s="1" t="s">
        <v>32</v>
      </c>
      <c r="G43" s="1" t="s">
        <v>46</v>
      </c>
      <c r="H43" s="1" t="s">
        <v>26</v>
      </c>
      <c r="I43" s="1" t="s">
        <v>39</v>
      </c>
      <c r="J43" s="1">
        <v>4</v>
      </c>
      <c r="K43" s="3">
        <v>413.49</v>
      </c>
      <c r="L43" s="4">
        <v>0.1</v>
      </c>
      <c r="M43" s="3">
        <v>1488.55</v>
      </c>
      <c r="N43" s="3">
        <v>270.81</v>
      </c>
    </row>
    <row r="44" spans="1:14" x14ac:dyDescent="0.45">
      <c r="A44" s="1" t="s">
        <v>110</v>
      </c>
      <c r="B44" s="2">
        <v>44672</v>
      </c>
      <c r="C44" s="1" t="s">
        <v>14</v>
      </c>
      <c r="D44" s="1" t="s">
        <v>22</v>
      </c>
      <c r="E44" s="1" t="s">
        <v>16</v>
      </c>
      <c r="F44" s="1" t="s">
        <v>17</v>
      </c>
      <c r="G44" s="1" t="s">
        <v>18</v>
      </c>
      <c r="H44" s="1" t="s">
        <v>19</v>
      </c>
      <c r="I44" s="1" t="s">
        <v>20</v>
      </c>
      <c r="J44" s="1">
        <v>1</v>
      </c>
      <c r="K44" s="3">
        <v>1183.0899999999999</v>
      </c>
      <c r="L44" s="4">
        <v>0.05</v>
      </c>
      <c r="M44" s="3">
        <v>1123.93</v>
      </c>
      <c r="N44" s="3">
        <v>105.81</v>
      </c>
    </row>
    <row r="45" spans="1:14" x14ac:dyDescent="0.45">
      <c r="A45" s="1" t="s">
        <v>111</v>
      </c>
      <c r="B45" s="2">
        <v>44657</v>
      </c>
      <c r="C45" s="1" t="s">
        <v>29</v>
      </c>
      <c r="D45" s="1" t="s">
        <v>37</v>
      </c>
      <c r="E45" s="1" t="s">
        <v>95</v>
      </c>
      <c r="F45" s="1" t="s">
        <v>24</v>
      </c>
      <c r="G45" s="1" t="s">
        <v>74</v>
      </c>
      <c r="H45" s="1" t="s">
        <v>26</v>
      </c>
      <c r="I45" s="1" t="s">
        <v>42</v>
      </c>
      <c r="J45" s="1">
        <v>14</v>
      </c>
      <c r="K45" s="3">
        <v>72.66</v>
      </c>
      <c r="L45" s="4">
        <v>0</v>
      </c>
      <c r="M45" s="3">
        <v>1017.29</v>
      </c>
      <c r="N45" s="3">
        <v>142.07</v>
      </c>
    </row>
    <row r="46" spans="1:14" x14ac:dyDescent="0.45">
      <c r="A46" s="1" t="s">
        <v>112</v>
      </c>
      <c r="B46" s="2">
        <v>44676</v>
      </c>
      <c r="C46" s="1" t="s">
        <v>29</v>
      </c>
      <c r="D46" s="1" t="s">
        <v>30</v>
      </c>
      <c r="E46" s="1" t="s">
        <v>23</v>
      </c>
      <c r="F46" s="1" t="s">
        <v>32</v>
      </c>
      <c r="G46" s="1" t="s">
        <v>33</v>
      </c>
      <c r="H46" s="1" t="s">
        <v>34</v>
      </c>
      <c r="I46" s="1" t="s">
        <v>27</v>
      </c>
      <c r="J46" s="1">
        <v>9</v>
      </c>
      <c r="K46" s="3">
        <v>54.81</v>
      </c>
      <c r="L46" s="4">
        <v>0</v>
      </c>
      <c r="M46" s="3">
        <v>493.3</v>
      </c>
      <c r="N46" s="3">
        <v>29.39</v>
      </c>
    </row>
    <row r="47" spans="1:14" x14ac:dyDescent="0.45">
      <c r="A47" s="1" t="s">
        <v>113</v>
      </c>
      <c r="B47" s="2">
        <v>44673</v>
      </c>
      <c r="C47" s="1" t="s">
        <v>48</v>
      </c>
      <c r="D47" s="1" t="s">
        <v>78</v>
      </c>
      <c r="E47" s="1" t="s">
        <v>89</v>
      </c>
      <c r="F47" s="1" t="s">
        <v>24</v>
      </c>
      <c r="G47" s="1" t="s">
        <v>46</v>
      </c>
      <c r="H47" s="1" t="s">
        <v>26</v>
      </c>
      <c r="I47" s="1" t="s">
        <v>42</v>
      </c>
      <c r="J47" s="1">
        <v>7</v>
      </c>
      <c r="K47" s="3">
        <v>440.57</v>
      </c>
      <c r="L47" s="4">
        <v>7.0000000000000007E-2</v>
      </c>
      <c r="M47" s="3">
        <v>2868.14</v>
      </c>
      <c r="N47" s="3">
        <v>616.75</v>
      </c>
    </row>
    <row r="48" spans="1:14" x14ac:dyDescent="0.45">
      <c r="A48" s="1" t="s">
        <v>114</v>
      </c>
      <c r="B48" s="2">
        <v>44666</v>
      </c>
      <c r="C48" s="1" t="s">
        <v>29</v>
      </c>
      <c r="D48" s="1" t="s">
        <v>44</v>
      </c>
      <c r="E48" s="1" t="s">
        <v>81</v>
      </c>
      <c r="F48" s="1" t="s">
        <v>24</v>
      </c>
      <c r="G48" s="1" t="s">
        <v>25</v>
      </c>
      <c r="H48" s="1" t="s">
        <v>26</v>
      </c>
      <c r="I48" s="1" t="s">
        <v>39</v>
      </c>
      <c r="J48" s="1">
        <v>9</v>
      </c>
      <c r="K48" s="3">
        <v>28.22</v>
      </c>
      <c r="L48" s="4">
        <v>0</v>
      </c>
      <c r="M48" s="3">
        <v>253.96</v>
      </c>
      <c r="N48" s="3">
        <v>32.68</v>
      </c>
    </row>
    <row r="49" spans="1:14" x14ac:dyDescent="0.45">
      <c r="A49" s="1" t="s">
        <v>115</v>
      </c>
      <c r="B49" s="2">
        <v>44666</v>
      </c>
      <c r="C49" s="1" t="s">
        <v>29</v>
      </c>
      <c r="D49" s="1" t="s">
        <v>37</v>
      </c>
      <c r="E49" s="1" t="s">
        <v>56</v>
      </c>
      <c r="F49" s="1" t="s">
        <v>17</v>
      </c>
      <c r="G49" s="1" t="s">
        <v>66</v>
      </c>
      <c r="H49" s="1" t="s">
        <v>26</v>
      </c>
      <c r="I49" s="1" t="s">
        <v>20</v>
      </c>
      <c r="J49" s="1">
        <v>14</v>
      </c>
      <c r="K49" s="3">
        <v>84.01</v>
      </c>
      <c r="L49" s="4">
        <v>0.1</v>
      </c>
      <c r="M49" s="3">
        <v>1058.52</v>
      </c>
      <c r="N49" s="3">
        <v>169.59</v>
      </c>
    </row>
    <row r="50" spans="1:14" x14ac:dyDescent="0.45">
      <c r="A50" s="1" t="s">
        <v>116</v>
      </c>
      <c r="B50" s="2">
        <v>44678</v>
      </c>
      <c r="C50" s="1" t="s">
        <v>48</v>
      </c>
      <c r="D50" s="1" t="s">
        <v>91</v>
      </c>
      <c r="E50" s="1" t="s">
        <v>38</v>
      </c>
      <c r="F50" s="1" t="s">
        <v>17</v>
      </c>
      <c r="G50" s="1" t="s">
        <v>61</v>
      </c>
      <c r="H50" s="1" t="s">
        <v>51</v>
      </c>
      <c r="I50" s="1" t="s">
        <v>39</v>
      </c>
      <c r="J50" s="1">
        <v>7</v>
      </c>
      <c r="K50" s="3">
        <v>587.95000000000005</v>
      </c>
      <c r="L50" s="4">
        <v>7.0000000000000007E-2</v>
      </c>
      <c r="M50" s="3">
        <v>3827.57</v>
      </c>
      <c r="N50" s="3">
        <v>911.07</v>
      </c>
    </row>
    <row r="51" spans="1:14" x14ac:dyDescent="0.45">
      <c r="A51" s="1" t="s">
        <v>117</v>
      </c>
      <c r="B51" s="2">
        <v>44663</v>
      </c>
      <c r="C51" s="1" t="s">
        <v>29</v>
      </c>
      <c r="D51" s="1" t="s">
        <v>44</v>
      </c>
      <c r="E51" s="1" t="s">
        <v>92</v>
      </c>
      <c r="F51" s="1" t="s">
        <v>32</v>
      </c>
      <c r="G51" s="1" t="s">
        <v>54</v>
      </c>
      <c r="H51" s="1" t="s">
        <v>51</v>
      </c>
      <c r="I51" s="1" t="s">
        <v>39</v>
      </c>
      <c r="J51" s="1">
        <v>15</v>
      </c>
      <c r="K51" s="3">
        <v>33.549999999999997</v>
      </c>
      <c r="L51" s="4">
        <v>0.1</v>
      </c>
      <c r="M51" s="3">
        <v>452.89</v>
      </c>
      <c r="N51" s="3">
        <v>50.03</v>
      </c>
    </row>
    <row r="52" spans="1:14" x14ac:dyDescent="0.45">
      <c r="A52" s="1" t="s">
        <v>118</v>
      </c>
      <c r="B52" s="2">
        <v>44672</v>
      </c>
      <c r="C52" s="1" t="s">
        <v>29</v>
      </c>
      <c r="D52" s="1" t="s">
        <v>30</v>
      </c>
      <c r="E52" s="1" t="s">
        <v>31</v>
      </c>
      <c r="F52" s="1" t="s">
        <v>32</v>
      </c>
      <c r="G52" s="1" t="s">
        <v>18</v>
      </c>
      <c r="H52" s="1" t="s">
        <v>19</v>
      </c>
      <c r="I52" s="1" t="s">
        <v>27</v>
      </c>
      <c r="J52" s="1">
        <v>14</v>
      </c>
      <c r="K52" s="3">
        <v>44.42</v>
      </c>
      <c r="L52" s="4">
        <v>0.1</v>
      </c>
      <c r="M52" s="3">
        <v>559.66</v>
      </c>
      <c r="N52" s="3">
        <v>61.15</v>
      </c>
    </row>
    <row r="53" spans="1:14" x14ac:dyDescent="0.45">
      <c r="A53" s="1" t="s">
        <v>119</v>
      </c>
      <c r="B53" s="2">
        <v>44655</v>
      </c>
      <c r="C53" s="1" t="s">
        <v>14</v>
      </c>
      <c r="D53" s="1" t="s">
        <v>15</v>
      </c>
      <c r="E53" s="1" t="s">
        <v>106</v>
      </c>
      <c r="F53" s="1" t="s">
        <v>32</v>
      </c>
      <c r="G53" s="1" t="s">
        <v>50</v>
      </c>
      <c r="H53" s="1" t="s">
        <v>51</v>
      </c>
      <c r="I53" s="1" t="s">
        <v>67</v>
      </c>
      <c r="J53" s="1">
        <v>2</v>
      </c>
      <c r="K53" s="3">
        <v>81.709999999999994</v>
      </c>
      <c r="L53" s="4">
        <v>0.05</v>
      </c>
      <c r="M53" s="3">
        <v>155.25</v>
      </c>
      <c r="N53" s="3">
        <v>-35.83</v>
      </c>
    </row>
    <row r="54" spans="1:14" x14ac:dyDescent="0.45">
      <c r="A54" s="1" t="s">
        <v>120</v>
      </c>
      <c r="B54" s="2">
        <v>44671</v>
      </c>
      <c r="C54" s="1" t="s">
        <v>29</v>
      </c>
      <c r="D54" s="1" t="s">
        <v>44</v>
      </c>
      <c r="E54" s="1" t="s">
        <v>95</v>
      </c>
      <c r="F54" s="1" t="s">
        <v>32</v>
      </c>
      <c r="G54" s="1" t="s">
        <v>46</v>
      </c>
      <c r="H54" s="1" t="s">
        <v>26</v>
      </c>
      <c r="I54" s="1" t="s">
        <v>35</v>
      </c>
      <c r="J54" s="1">
        <v>12</v>
      </c>
      <c r="K54" s="3">
        <v>28.42</v>
      </c>
      <c r="L54" s="4">
        <v>0.05</v>
      </c>
      <c r="M54" s="3">
        <v>324.04000000000002</v>
      </c>
      <c r="N54" s="3">
        <v>-0.84</v>
      </c>
    </row>
    <row r="55" spans="1:14" x14ac:dyDescent="0.45">
      <c r="A55" s="1" t="s">
        <v>121</v>
      </c>
      <c r="B55" s="2">
        <v>44680</v>
      </c>
      <c r="C55" s="1" t="s">
        <v>29</v>
      </c>
      <c r="D55" s="1" t="s">
        <v>30</v>
      </c>
      <c r="E55" s="1" t="s">
        <v>106</v>
      </c>
      <c r="F55" s="1" t="s">
        <v>24</v>
      </c>
      <c r="G55" s="1" t="s">
        <v>57</v>
      </c>
      <c r="H55" s="1" t="s">
        <v>51</v>
      </c>
      <c r="I55" s="1" t="s">
        <v>67</v>
      </c>
      <c r="J55" s="1">
        <v>3</v>
      </c>
      <c r="K55" s="3">
        <v>46.17</v>
      </c>
      <c r="L55" s="4">
        <v>0.03</v>
      </c>
      <c r="M55" s="3">
        <v>134.35</v>
      </c>
      <c r="N55" s="3">
        <v>5.4</v>
      </c>
    </row>
    <row r="56" spans="1:14" x14ac:dyDescent="0.45">
      <c r="A56" s="1" t="s">
        <v>122</v>
      </c>
      <c r="B56" s="2">
        <v>44662</v>
      </c>
      <c r="C56" s="1" t="s">
        <v>14</v>
      </c>
      <c r="D56" s="1" t="s">
        <v>22</v>
      </c>
      <c r="E56" s="1" t="s">
        <v>95</v>
      </c>
      <c r="F56" s="1" t="s">
        <v>17</v>
      </c>
      <c r="G56" s="1" t="s">
        <v>25</v>
      </c>
      <c r="H56" s="1" t="s">
        <v>26</v>
      </c>
      <c r="I56" s="1" t="s">
        <v>67</v>
      </c>
      <c r="J56" s="1">
        <v>3</v>
      </c>
      <c r="K56" s="3">
        <v>1253.25</v>
      </c>
      <c r="L56" s="4">
        <v>0.05</v>
      </c>
      <c r="M56" s="3">
        <v>3571.76</v>
      </c>
      <c r="N56" s="3">
        <v>625.39</v>
      </c>
    </row>
    <row r="57" spans="1:14" x14ac:dyDescent="0.45">
      <c r="A57" s="1" t="s">
        <v>123</v>
      </c>
      <c r="B57" s="2">
        <v>44652</v>
      </c>
      <c r="C57" s="1" t="s">
        <v>29</v>
      </c>
      <c r="D57" s="1" t="s">
        <v>37</v>
      </c>
      <c r="E57" s="1" t="s">
        <v>92</v>
      </c>
      <c r="F57" s="1" t="s">
        <v>17</v>
      </c>
      <c r="G57" s="1" t="s">
        <v>18</v>
      </c>
      <c r="H57" s="1" t="s">
        <v>19</v>
      </c>
      <c r="I57" s="1" t="s">
        <v>67</v>
      </c>
      <c r="J57" s="1">
        <v>5</v>
      </c>
      <c r="K57" s="3">
        <v>78.67</v>
      </c>
      <c r="L57" s="4">
        <v>0</v>
      </c>
      <c r="M57" s="3">
        <v>393.33</v>
      </c>
      <c r="N57" s="3">
        <v>85.61</v>
      </c>
    </row>
    <row r="58" spans="1:14" x14ac:dyDescent="0.45">
      <c r="A58" s="1" t="s">
        <v>124</v>
      </c>
      <c r="B58" s="2">
        <v>44665</v>
      </c>
      <c r="C58" s="1" t="s">
        <v>29</v>
      </c>
      <c r="D58" s="1" t="s">
        <v>37</v>
      </c>
      <c r="E58" s="1" t="s">
        <v>60</v>
      </c>
      <c r="F58" s="1" t="s">
        <v>24</v>
      </c>
      <c r="G58" s="1" t="s">
        <v>61</v>
      </c>
      <c r="H58" s="1" t="s">
        <v>51</v>
      </c>
      <c r="I58" s="1" t="s">
        <v>20</v>
      </c>
      <c r="J58" s="1">
        <v>4</v>
      </c>
      <c r="K58" s="3">
        <v>81.319999999999993</v>
      </c>
      <c r="L58" s="4">
        <v>0.1</v>
      </c>
      <c r="M58" s="3">
        <v>292.75</v>
      </c>
      <c r="N58" s="3">
        <v>11.31</v>
      </c>
    </row>
    <row r="59" spans="1:14" x14ac:dyDescent="0.45">
      <c r="A59" s="1" t="s">
        <v>125</v>
      </c>
      <c r="B59" s="2">
        <v>44671</v>
      </c>
      <c r="C59" s="1" t="s">
        <v>48</v>
      </c>
      <c r="D59" s="1" t="s">
        <v>78</v>
      </c>
      <c r="E59" s="1" t="s">
        <v>87</v>
      </c>
      <c r="F59" s="1" t="s">
        <v>17</v>
      </c>
      <c r="G59" s="1" t="s">
        <v>66</v>
      </c>
      <c r="H59" s="1" t="s">
        <v>26</v>
      </c>
      <c r="I59" s="1" t="s">
        <v>35</v>
      </c>
      <c r="J59" s="1">
        <v>7</v>
      </c>
      <c r="K59" s="3">
        <v>479.55</v>
      </c>
      <c r="L59" s="4">
        <v>0</v>
      </c>
      <c r="M59" s="3">
        <v>3356.82</v>
      </c>
      <c r="N59" s="3">
        <v>726.41</v>
      </c>
    </row>
    <row r="60" spans="1:14" x14ac:dyDescent="0.45">
      <c r="A60" s="1" t="s">
        <v>126</v>
      </c>
      <c r="B60" s="2">
        <v>44706</v>
      </c>
      <c r="C60" s="1" t="s">
        <v>14</v>
      </c>
      <c r="D60" s="1" t="s">
        <v>80</v>
      </c>
      <c r="E60" s="1" t="s">
        <v>89</v>
      </c>
      <c r="F60" s="1" t="s">
        <v>24</v>
      </c>
      <c r="G60" s="1" t="s">
        <v>46</v>
      </c>
      <c r="H60" s="1" t="s">
        <v>26</v>
      </c>
      <c r="I60" s="1" t="s">
        <v>20</v>
      </c>
      <c r="J60" s="1">
        <v>7</v>
      </c>
      <c r="K60" s="3">
        <v>327.69</v>
      </c>
      <c r="L60" s="4">
        <v>7.0000000000000007E-2</v>
      </c>
      <c r="M60" s="3">
        <v>2133.25</v>
      </c>
      <c r="N60" s="3">
        <v>513.29</v>
      </c>
    </row>
    <row r="61" spans="1:14" x14ac:dyDescent="0.45">
      <c r="A61" s="1" t="s">
        <v>127</v>
      </c>
      <c r="B61" s="2">
        <v>44701</v>
      </c>
      <c r="C61" s="1" t="s">
        <v>29</v>
      </c>
      <c r="D61" s="1" t="s">
        <v>44</v>
      </c>
      <c r="E61" s="1" t="s">
        <v>87</v>
      </c>
      <c r="F61" s="1" t="s">
        <v>32</v>
      </c>
      <c r="G61" s="1" t="s">
        <v>61</v>
      </c>
      <c r="H61" s="1" t="s">
        <v>51</v>
      </c>
      <c r="I61" s="1" t="s">
        <v>35</v>
      </c>
      <c r="J61" s="1">
        <v>9</v>
      </c>
      <c r="K61" s="3">
        <v>32.29</v>
      </c>
      <c r="L61" s="4">
        <v>0</v>
      </c>
      <c r="M61" s="3">
        <v>290.62</v>
      </c>
      <c r="N61" s="3">
        <v>18.350000000000001</v>
      </c>
    </row>
    <row r="62" spans="1:14" x14ac:dyDescent="0.45">
      <c r="A62" s="1" t="s">
        <v>128</v>
      </c>
      <c r="B62" s="2">
        <v>44693</v>
      </c>
      <c r="C62" s="1" t="s">
        <v>48</v>
      </c>
      <c r="D62" s="1" t="s">
        <v>78</v>
      </c>
      <c r="E62" s="1" t="s">
        <v>53</v>
      </c>
      <c r="F62" s="1" t="s">
        <v>17</v>
      </c>
      <c r="G62" s="1" t="s">
        <v>61</v>
      </c>
      <c r="H62" s="1" t="s">
        <v>51</v>
      </c>
      <c r="I62" s="1" t="s">
        <v>39</v>
      </c>
      <c r="J62" s="1">
        <v>6</v>
      </c>
      <c r="K62" s="3">
        <v>453.26</v>
      </c>
      <c r="L62" s="4">
        <v>0</v>
      </c>
      <c r="M62" s="3">
        <v>2719.54</v>
      </c>
      <c r="N62" s="3">
        <v>548.85</v>
      </c>
    </row>
    <row r="63" spans="1:14" x14ac:dyDescent="0.45">
      <c r="A63" s="1" t="s">
        <v>129</v>
      </c>
      <c r="B63" s="2">
        <v>44692</v>
      </c>
      <c r="C63" s="1" t="s">
        <v>48</v>
      </c>
      <c r="D63" s="1" t="s">
        <v>78</v>
      </c>
      <c r="E63" s="1" t="s">
        <v>73</v>
      </c>
      <c r="F63" s="1" t="s">
        <v>17</v>
      </c>
      <c r="G63" s="1" t="s">
        <v>18</v>
      </c>
      <c r="H63" s="1" t="s">
        <v>19</v>
      </c>
      <c r="I63" s="1" t="s">
        <v>67</v>
      </c>
      <c r="J63" s="1">
        <v>4</v>
      </c>
      <c r="K63" s="3">
        <v>421.63</v>
      </c>
      <c r="L63" s="4">
        <v>0.1</v>
      </c>
      <c r="M63" s="3">
        <v>1517.88</v>
      </c>
      <c r="N63" s="3">
        <v>255.07</v>
      </c>
    </row>
    <row r="64" spans="1:14" x14ac:dyDescent="0.45">
      <c r="A64" s="1" t="s">
        <v>130</v>
      </c>
      <c r="B64" s="2">
        <v>44698</v>
      </c>
      <c r="C64" s="1" t="s">
        <v>48</v>
      </c>
      <c r="D64" s="1" t="s">
        <v>91</v>
      </c>
      <c r="E64" s="1" t="s">
        <v>89</v>
      </c>
      <c r="F64" s="1" t="s">
        <v>17</v>
      </c>
      <c r="G64" s="1" t="s">
        <v>57</v>
      </c>
      <c r="H64" s="1" t="s">
        <v>51</v>
      </c>
      <c r="I64" s="1" t="s">
        <v>27</v>
      </c>
      <c r="J64" s="1">
        <v>5</v>
      </c>
      <c r="K64" s="3">
        <v>494.08</v>
      </c>
      <c r="L64" s="4">
        <v>0.1</v>
      </c>
      <c r="M64" s="3">
        <v>2223.34</v>
      </c>
      <c r="N64" s="3">
        <v>303.06</v>
      </c>
    </row>
    <row r="65" spans="1:14" x14ac:dyDescent="0.45">
      <c r="A65" s="1" t="s">
        <v>131</v>
      </c>
      <c r="B65" s="2">
        <v>44686</v>
      </c>
      <c r="C65" s="1" t="s">
        <v>29</v>
      </c>
      <c r="D65" s="1" t="s">
        <v>37</v>
      </c>
      <c r="E65" s="1" t="s">
        <v>92</v>
      </c>
      <c r="F65" s="1" t="s">
        <v>32</v>
      </c>
      <c r="G65" s="1" t="s">
        <v>50</v>
      </c>
      <c r="H65" s="1" t="s">
        <v>51</v>
      </c>
      <c r="I65" s="1" t="s">
        <v>42</v>
      </c>
      <c r="J65" s="1">
        <v>12</v>
      </c>
      <c r="K65" s="3">
        <v>77.180000000000007</v>
      </c>
      <c r="L65" s="4">
        <v>0.05</v>
      </c>
      <c r="M65" s="3">
        <v>879.9</v>
      </c>
      <c r="N65" s="3">
        <v>148.47</v>
      </c>
    </row>
    <row r="66" spans="1:14" x14ac:dyDescent="0.45">
      <c r="A66" s="1" t="s">
        <v>132</v>
      </c>
      <c r="B66" s="2">
        <v>44705</v>
      </c>
      <c r="C66" s="1" t="s">
        <v>48</v>
      </c>
      <c r="D66" s="1" t="s">
        <v>49</v>
      </c>
      <c r="E66" s="1" t="s">
        <v>63</v>
      </c>
      <c r="F66" s="1" t="s">
        <v>24</v>
      </c>
      <c r="G66" s="1" t="s">
        <v>46</v>
      </c>
      <c r="H66" s="1" t="s">
        <v>26</v>
      </c>
      <c r="I66" s="1" t="s">
        <v>67</v>
      </c>
      <c r="J66" s="1">
        <v>3</v>
      </c>
      <c r="K66" s="3">
        <v>280.12</v>
      </c>
      <c r="L66" s="4">
        <v>0.1</v>
      </c>
      <c r="M66" s="3">
        <v>756.34</v>
      </c>
      <c r="N66" s="3">
        <v>75.900000000000006</v>
      </c>
    </row>
    <row r="67" spans="1:14" x14ac:dyDescent="0.45">
      <c r="A67" s="1" t="s">
        <v>133</v>
      </c>
      <c r="B67" s="2">
        <v>44684</v>
      </c>
      <c r="C67" s="1" t="s">
        <v>48</v>
      </c>
      <c r="D67" s="1" t="s">
        <v>91</v>
      </c>
      <c r="E67" s="1" t="s">
        <v>95</v>
      </c>
      <c r="F67" s="1" t="s">
        <v>32</v>
      </c>
      <c r="G67" s="1" t="s">
        <v>66</v>
      </c>
      <c r="H67" s="1" t="s">
        <v>26</v>
      </c>
      <c r="I67" s="1" t="s">
        <v>20</v>
      </c>
      <c r="J67" s="1">
        <v>6</v>
      </c>
      <c r="K67" s="3">
        <v>558.27</v>
      </c>
      <c r="L67" s="4">
        <v>0</v>
      </c>
      <c r="M67" s="3">
        <v>3349.64</v>
      </c>
      <c r="N67" s="3">
        <v>709.83</v>
      </c>
    </row>
    <row r="68" spans="1:14" x14ac:dyDescent="0.45">
      <c r="A68" s="1" t="s">
        <v>134</v>
      </c>
      <c r="B68" s="2">
        <v>44697</v>
      </c>
      <c r="C68" s="1" t="s">
        <v>14</v>
      </c>
      <c r="D68" s="1" t="s">
        <v>15</v>
      </c>
      <c r="E68" s="1" t="s">
        <v>56</v>
      </c>
      <c r="F68" s="1" t="s">
        <v>24</v>
      </c>
      <c r="G68" s="1" t="s">
        <v>18</v>
      </c>
      <c r="H68" s="1" t="s">
        <v>19</v>
      </c>
      <c r="I68" s="1" t="s">
        <v>39</v>
      </c>
      <c r="J68" s="1">
        <v>5</v>
      </c>
      <c r="K68" s="3">
        <v>92.99</v>
      </c>
      <c r="L68" s="4">
        <v>7.0000000000000007E-2</v>
      </c>
      <c r="M68" s="3">
        <v>432.42</v>
      </c>
      <c r="N68" s="3">
        <v>43.44</v>
      </c>
    </row>
    <row r="69" spans="1:14" x14ac:dyDescent="0.45">
      <c r="A69" s="1" t="s">
        <v>135</v>
      </c>
      <c r="B69" s="2">
        <v>44687</v>
      </c>
      <c r="C69" s="1" t="s">
        <v>14</v>
      </c>
      <c r="D69" s="1" t="s">
        <v>22</v>
      </c>
      <c r="E69" s="1" t="s">
        <v>69</v>
      </c>
      <c r="F69" s="1" t="s">
        <v>17</v>
      </c>
      <c r="G69" s="1" t="s">
        <v>18</v>
      </c>
      <c r="H69" s="1" t="s">
        <v>19</v>
      </c>
      <c r="I69" s="1" t="s">
        <v>27</v>
      </c>
      <c r="J69" s="1">
        <v>7</v>
      </c>
      <c r="K69" s="3">
        <v>1298.8900000000001</v>
      </c>
      <c r="L69" s="4">
        <v>7.0000000000000007E-2</v>
      </c>
      <c r="M69" s="3">
        <v>8455.76</v>
      </c>
      <c r="N69" s="3">
        <v>1631.66</v>
      </c>
    </row>
    <row r="70" spans="1:14" x14ac:dyDescent="0.45">
      <c r="A70" s="1" t="s">
        <v>136</v>
      </c>
      <c r="B70" s="2">
        <v>44701</v>
      </c>
      <c r="C70" s="1" t="s">
        <v>48</v>
      </c>
      <c r="D70" s="1" t="s">
        <v>91</v>
      </c>
      <c r="E70" s="1" t="s">
        <v>16</v>
      </c>
      <c r="F70" s="1" t="s">
        <v>17</v>
      </c>
      <c r="G70" s="1" t="s">
        <v>66</v>
      </c>
      <c r="H70" s="1" t="s">
        <v>26</v>
      </c>
      <c r="I70" s="1" t="s">
        <v>67</v>
      </c>
      <c r="J70" s="1">
        <v>7</v>
      </c>
      <c r="K70" s="3">
        <v>592.84</v>
      </c>
      <c r="L70" s="4">
        <v>7.0000000000000007E-2</v>
      </c>
      <c r="M70" s="3">
        <v>3859.4</v>
      </c>
      <c r="N70" s="3">
        <v>610.79999999999995</v>
      </c>
    </row>
    <row r="71" spans="1:14" x14ac:dyDescent="0.45">
      <c r="A71" s="1" t="s">
        <v>137</v>
      </c>
      <c r="B71" s="2">
        <v>44712</v>
      </c>
      <c r="C71" s="1" t="s">
        <v>29</v>
      </c>
      <c r="D71" s="1" t="s">
        <v>44</v>
      </c>
      <c r="E71" s="1" t="s">
        <v>31</v>
      </c>
      <c r="F71" s="1" t="s">
        <v>32</v>
      </c>
      <c r="G71" s="1" t="s">
        <v>74</v>
      </c>
      <c r="H71" s="1" t="s">
        <v>26</v>
      </c>
      <c r="I71" s="1" t="s">
        <v>67</v>
      </c>
      <c r="J71" s="1">
        <v>3</v>
      </c>
      <c r="K71" s="3">
        <v>28.39</v>
      </c>
      <c r="L71" s="4">
        <v>0.1</v>
      </c>
      <c r="M71" s="3">
        <v>76.650000000000006</v>
      </c>
      <c r="N71" s="3">
        <v>-35.950000000000003</v>
      </c>
    </row>
    <row r="72" spans="1:14" x14ac:dyDescent="0.45">
      <c r="A72" s="1" t="s">
        <v>138</v>
      </c>
      <c r="B72" s="2">
        <v>44694</v>
      </c>
      <c r="C72" s="1" t="s">
        <v>14</v>
      </c>
      <c r="D72" s="1" t="s">
        <v>80</v>
      </c>
      <c r="E72" s="1" t="s">
        <v>45</v>
      </c>
      <c r="F72" s="1" t="s">
        <v>17</v>
      </c>
      <c r="G72" s="1" t="s">
        <v>66</v>
      </c>
      <c r="H72" s="1" t="s">
        <v>26</v>
      </c>
      <c r="I72" s="1" t="s">
        <v>20</v>
      </c>
      <c r="J72" s="1">
        <v>2</v>
      </c>
      <c r="K72" s="3">
        <v>363.81</v>
      </c>
      <c r="L72" s="4">
        <v>0.05</v>
      </c>
      <c r="M72" s="3">
        <v>691.24</v>
      </c>
      <c r="N72" s="3">
        <v>59.16</v>
      </c>
    </row>
    <row r="73" spans="1:14" x14ac:dyDescent="0.45">
      <c r="A73" s="1" t="s">
        <v>139</v>
      </c>
      <c r="B73" s="2">
        <v>44691</v>
      </c>
      <c r="C73" s="1" t="s">
        <v>14</v>
      </c>
      <c r="D73" s="1" t="s">
        <v>22</v>
      </c>
      <c r="E73" s="1" t="s">
        <v>65</v>
      </c>
      <c r="F73" s="1" t="s">
        <v>24</v>
      </c>
      <c r="G73" s="1" t="s">
        <v>18</v>
      </c>
      <c r="H73" s="1" t="s">
        <v>19</v>
      </c>
      <c r="I73" s="1" t="s">
        <v>39</v>
      </c>
      <c r="J73" s="1">
        <v>2</v>
      </c>
      <c r="K73" s="3">
        <v>1334.15</v>
      </c>
      <c r="L73" s="4">
        <v>0.03</v>
      </c>
      <c r="M73" s="3">
        <v>2588.25</v>
      </c>
      <c r="N73" s="3">
        <v>448.99</v>
      </c>
    </row>
    <row r="74" spans="1:14" x14ac:dyDescent="0.45">
      <c r="A74" s="1" t="s">
        <v>140</v>
      </c>
      <c r="B74" s="2">
        <v>44708</v>
      </c>
      <c r="C74" s="1" t="s">
        <v>29</v>
      </c>
      <c r="D74" s="1" t="s">
        <v>30</v>
      </c>
      <c r="E74" s="1" t="s">
        <v>16</v>
      </c>
      <c r="F74" s="1" t="s">
        <v>24</v>
      </c>
      <c r="G74" s="1" t="s">
        <v>50</v>
      </c>
      <c r="H74" s="1" t="s">
        <v>51</v>
      </c>
      <c r="I74" s="1" t="s">
        <v>20</v>
      </c>
      <c r="J74" s="1">
        <v>10</v>
      </c>
      <c r="K74" s="3">
        <v>49.42</v>
      </c>
      <c r="L74" s="4">
        <v>0</v>
      </c>
      <c r="M74" s="3">
        <v>494.22</v>
      </c>
      <c r="N74" s="3">
        <v>12.33</v>
      </c>
    </row>
    <row r="75" spans="1:14" x14ac:dyDescent="0.45">
      <c r="A75" s="1" t="s">
        <v>141</v>
      </c>
      <c r="B75" s="2">
        <v>44685</v>
      </c>
      <c r="C75" s="1" t="s">
        <v>48</v>
      </c>
      <c r="D75" s="1" t="s">
        <v>78</v>
      </c>
      <c r="E75" s="1" t="s">
        <v>89</v>
      </c>
      <c r="F75" s="1" t="s">
        <v>17</v>
      </c>
      <c r="G75" s="1" t="s">
        <v>18</v>
      </c>
      <c r="H75" s="1" t="s">
        <v>19</v>
      </c>
      <c r="I75" s="1" t="s">
        <v>39</v>
      </c>
      <c r="J75" s="1">
        <v>5</v>
      </c>
      <c r="K75" s="3">
        <v>459.71</v>
      </c>
      <c r="L75" s="4">
        <v>0.03</v>
      </c>
      <c r="M75" s="3">
        <v>2229.61</v>
      </c>
      <c r="N75" s="3">
        <v>442.27</v>
      </c>
    </row>
    <row r="76" spans="1:14" x14ac:dyDescent="0.45">
      <c r="A76" s="1" t="s">
        <v>142</v>
      </c>
      <c r="B76" s="2">
        <v>44683</v>
      </c>
      <c r="C76" s="1" t="s">
        <v>48</v>
      </c>
      <c r="D76" s="1" t="s">
        <v>49</v>
      </c>
      <c r="E76" s="1" t="s">
        <v>53</v>
      </c>
      <c r="F76" s="1" t="s">
        <v>24</v>
      </c>
      <c r="G76" s="1" t="s">
        <v>61</v>
      </c>
      <c r="H76" s="1" t="s">
        <v>51</v>
      </c>
      <c r="I76" s="1" t="s">
        <v>35</v>
      </c>
      <c r="J76" s="1">
        <v>1</v>
      </c>
      <c r="K76" s="3">
        <v>301.67</v>
      </c>
      <c r="L76" s="4">
        <v>0.1</v>
      </c>
      <c r="M76" s="3">
        <v>271.51</v>
      </c>
      <c r="N76" s="3">
        <v>-16.420000000000002</v>
      </c>
    </row>
    <row r="77" spans="1:14" x14ac:dyDescent="0.45">
      <c r="A77" s="1" t="s">
        <v>143</v>
      </c>
      <c r="B77" s="2">
        <v>44735</v>
      </c>
      <c r="C77" s="1" t="s">
        <v>48</v>
      </c>
      <c r="D77" s="1" t="s">
        <v>49</v>
      </c>
      <c r="E77" s="1" t="s">
        <v>69</v>
      </c>
      <c r="F77" s="1" t="s">
        <v>24</v>
      </c>
      <c r="G77" s="1" t="s">
        <v>33</v>
      </c>
      <c r="H77" s="1" t="s">
        <v>34</v>
      </c>
      <c r="I77" s="1" t="s">
        <v>42</v>
      </c>
      <c r="J77" s="1">
        <v>8</v>
      </c>
      <c r="K77" s="3">
        <v>370.82</v>
      </c>
      <c r="L77" s="4">
        <v>0</v>
      </c>
      <c r="M77" s="3">
        <v>2966.57</v>
      </c>
      <c r="N77" s="3">
        <v>784.36</v>
      </c>
    </row>
    <row r="78" spans="1:14" x14ac:dyDescent="0.45">
      <c r="A78" s="1" t="s">
        <v>144</v>
      </c>
      <c r="B78" s="2">
        <v>44729</v>
      </c>
      <c r="C78" s="1" t="s">
        <v>14</v>
      </c>
      <c r="D78" s="1" t="s">
        <v>80</v>
      </c>
      <c r="E78" s="1" t="s">
        <v>31</v>
      </c>
      <c r="F78" s="1" t="s">
        <v>32</v>
      </c>
      <c r="G78" s="1" t="s">
        <v>46</v>
      </c>
      <c r="H78" s="1" t="s">
        <v>26</v>
      </c>
      <c r="I78" s="1" t="s">
        <v>35</v>
      </c>
      <c r="J78" s="1">
        <v>2</v>
      </c>
      <c r="K78" s="3">
        <v>367.1</v>
      </c>
      <c r="L78" s="4">
        <v>0.03</v>
      </c>
      <c r="M78" s="3">
        <v>712.17</v>
      </c>
      <c r="N78" s="3">
        <v>72.599999999999994</v>
      </c>
    </row>
    <row r="79" spans="1:14" x14ac:dyDescent="0.45">
      <c r="A79" s="1" t="s">
        <v>145</v>
      </c>
      <c r="B79" s="2">
        <v>44713</v>
      </c>
      <c r="C79" s="1" t="s">
        <v>48</v>
      </c>
      <c r="D79" s="1" t="s">
        <v>49</v>
      </c>
      <c r="E79" s="1" t="s">
        <v>41</v>
      </c>
      <c r="F79" s="1" t="s">
        <v>32</v>
      </c>
      <c r="G79" s="1" t="s">
        <v>57</v>
      </c>
      <c r="H79" s="1" t="s">
        <v>51</v>
      </c>
      <c r="I79" s="1" t="s">
        <v>35</v>
      </c>
      <c r="J79" s="1">
        <v>6</v>
      </c>
      <c r="K79" s="3">
        <v>276.61</v>
      </c>
      <c r="L79" s="4">
        <v>0.05</v>
      </c>
      <c r="M79" s="3">
        <v>1576.69</v>
      </c>
      <c r="N79" s="3">
        <v>318.2</v>
      </c>
    </row>
    <row r="80" spans="1:14" x14ac:dyDescent="0.45">
      <c r="A80" s="1" t="s">
        <v>146</v>
      </c>
      <c r="B80" s="2">
        <v>44721</v>
      </c>
      <c r="C80" s="1" t="s">
        <v>48</v>
      </c>
      <c r="D80" s="1" t="s">
        <v>78</v>
      </c>
      <c r="E80" s="1" t="s">
        <v>31</v>
      </c>
      <c r="F80" s="1" t="s">
        <v>17</v>
      </c>
      <c r="G80" s="1" t="s">
        <v>57</v>
      </c>
      <c r="H80" s="1" t="s">
        <v>51</v>
      </c>
      <c r="I80" s="1" t="s">
        <v>20</v>
      </c>
      <c r="J80" s="1">
        <v>6</v>
      </c>
      <c r="K80" s="3">
        <v>440.58</v>
      </c>
      <c r="L80" s="4">
        <v>0.05</v>
      </c>
      <c r="M80" s="3">
        <v>2511.3000000000002</v>
      </c>
      <c r="N80" s="3">
        <v>506.1</v>
      </c>
    </row>
    <row r="81" spans="1:14" x14ac:dyDescent="0.45">
      <c r="A81" s="1" t="s">
        <v>147</v>
      </c>
      <c r="B81" s="2">
        <v>44720</v>
      </c>
      <c r="C81" s="1" t="s">
        <v>29</v>
      </c>
      <c r="D81" s="1" t="s">
        <v>37</v>
      </c>
      <c r="E81" s="1" t="s">
        <v>65</v>
      </c>
      <c r="F81" s="1" t="s">
        <v>32</v>
      </c>
      <c r="G81" s="1" t="s">
        <v>33</v>
      </c>
      <c r="H81" s="1" t="s">
        <v>34</v>
      </c>
      <c r="I81" s="1" t="s">
        <v>42</v>
      </c>
      <c r="J81" s="1">
        <v>17</v>
      </c>
      <c r="K81" s="3">
        <v>85.91</v>
      </c>
      <c r="L81" s="4">
        <v>0.1</v>
      </c>
      <c r="M81" s="3">
        <v>1314.49</v>
      </c>
      <c r="N81" s="3">
        <v>273.52999999999997</v>
      </c>
    </row>
    <row r="82" spans="1:14" x14ac:dyDescent="0.45">
      <c r="A82" s="1" t="s">
        <v>148</v>
      </c>
      <c r="B82" s="2">
        <v>44719</v>
      </c>
      <c r="C82" s="1" t="s">
        <v>29</v>
      </c>
      <c r="D82" s="1" t="s">
        <v>37</v>
      </c>
      <c r="E82" s="1" t="s">
        <v>73</v>
      </c>
      <c r="F82" s="1" t="s">
        <v>32</v>
      </c>
      <c r="G82" s="1" t="s">
        <v>54</v>
      </c>
      <c r="H82" s="1" t="s">
        <v>51</v>
      </c>
      <c r="I82" s="1" t="s">
        <v>27</v>
      </c>
      <c r="J82" s="1">
        <v>9</v>
      </c>
      <c r="K82" s="3">
        <v>100.26</v>
      </c>
      <c r="L82" s="4">
        <v>0</v>
      </c>
      <c r="M82" s="3">
        <v>902.32</v>
      </c>
      <c r="N82" s="3">
        <v>174.99</v>
      </c>
    </row>
    <row r="83" spans="1:14" x14ac:dyDescent="0.45">
      <c r="A83" s="1" t="s">
        <v>149</v>
      </c>
      <c r="B83" s="2">
        <v>44729</v>
      </c>
      <c r="C83" s="1" t="s">
        <v>29</v>
      </c>
      <c r="D83" s="1" t="s">
        <v>37</v>
      </c>
      <c r="E83" s="1" t="s">
        <v>23</v>
      </c>
      <c r="F83" s="1" t="s">
        <v>24</v>
      </c>
      <c r="G83" s="1" t="s">
        <v>18</v>
      </c>
      <c r="H83" s="1" t="s">
        <v>19</v>
      </c>
      <c r="I83" s="1" t="s">
        <v>35</v>
      </c>
      <c r="J83" s="1">
        <v>15</v>
      </c>
      <c r="K83" s="3">
        <v>83.23</v>
      </c>
      <c r="L83" s="4">
        <v>0.05</v>
      </c>
      <c r="M83" s="3">
        <v>1186</v>
      </c>
      <c r="N83" s="3">
        <v>190.07</v>
      </c>
    </row>
    <row r="84" spans="1:14" x14ac:dyDescent="0.45">
      <c r="A84" s="1" t="s">
        <v>150</v>
      </c>
      <c r="B84" s="2">
        <v>44726</v>
      </c>
      <c r="C84" s="1" t="s">
        <v>14</v>
      </c>
      <c r="D84" s="1" t="s">
        <v>15</v>
      </c>
      <c r="E84" s="1" t="s">
        <v>56</v>
      </c>
      <c r="F84" s="1" t="s">
        <v>17</v>
      </c>
      <c r="G84" s="1" t="s">
        <v>50</v>
      </c>
      <c r="H84" s="1" t="s">
        <v>51</v>
      </c>
      <c r="I84" s="1" t="s">
        <v>35</v>
      </c>
      <c r="J84" s="1">
        <v>15</v>
      </c>
      <c r="K84" s="3">
        <v>89.02</v>
      </c>
      <c r="L84" s="4">
        <v>7.0000000000000007E-2</v>
      </c>
      <c r="M84" s="3">
        <v>1241.8699999999999</v>
      </c>
      <c r="N84" s="3">
        <v>327.45</v>
      </c>
    </row>
    <row r="85" spans="1:14" x14ac:dyDescent="0.45">
      <c r="A85" s="1" t="s">
        <v>151</v>
      </c>
      <c r="B85" s="2">
        <v>44727</v>
      </c>
      <c r="C85" s="1" t="s">
        <v>48</v>
      </c>
      <c r="D85" s="1" t="s">
        <v>78</v>
      </c>
      <c r="E85" s="1" t="s">
        <v>56</v>
      </c>
      <c r="F85" s="1" t="s">
        <v>32</v>
      </c>
      <c r="G85" s="1" t="s">
        <v>57</v>
      </c>
      <c r="H85" s="1" t="s">
        <v>51</v>
      </c>
      <c r="I85" s="1" t="s">
        <v>67</v>
      </c>
      <c r="J85" s="1">
        <v>8</v>
      </c>
      <c r="K85" s="3">
        <v>423.91</v>
      </c>
      <c r="L85" s="4">
        <v>7.0000000000000007E-2</v>
      </c>
      <c r="M85" s="3">
        <v>3153.92</v>
      </c>
      <c r="N85" s="3">
        <v>747.41</v>
      </c>
    </row>
    <row r="86" spans="1:14" x14ac:dyDescent="0.45">
      <c r="A86" s="1" t="s">
        <v>152</v>
      </c>
      <c r="B86" s="2">
        <v>44729</v>
      </c>
      <c r="C86" s="1" t="s">
        <v>14</v>
      </c>
      <c r="D86" s="1" t="s">
        <v>15</v>
      </c>
      <c r="E86" s="1" t="s">
        <v>87</v>
      </c>
      <c r="F86" s="1" t="s">
        <v>32</v>
      </c>
      <c r="G86" s="1" t="s">
        <v>25</v>
      </c>
      <c r="H86" s="1" t="s">
        <v>26</v>
      </c>
      <c r="I86" s="1" t="s">
        <v>20</v>
      </c>
      <c r="J86" s="1">
        <v>15</v>
      </c>
      <c r="K86" s="3">
        <v>86.97</v>
      </c>
      <c r="L86" s="4">
        <v>0.1</v>
      </c>
      <c r="M86" s="3">
        <v>1174.1400000000001</v>
      </c>
      <c r="N86" s="3">
        <v>225.21</v>
      </c>
    </row>
    <row r="87" spans="1:14" x14ac:dyDescent="0.45">
      <c r="A87" s="1" t="s">
        <v>153</v>
      </c>
      <c r="B87" s="2">
        <v>44734</v>
      </c>
      <c r="C87" s="1" t="s">
        <v>29</v>
      </c>
      <c r="D87" s="1" t="s">
        <v>37</v>
      </c>
      <c r="E87" s="1" t="s">
        <v>69</v>
      </c>
      <c r="F87" s="1" t="s">
        <v>17</v>
      </c>
      <c r="G87" s="1" t="s">
        <v>33</v>
      </c>
      <c r="H87" s="1" t="s">
        <v>34</v>
      </c>
      <c r="I87" s="1" t="s">
        <v>20</v>
      </c>
      <c r="J87" s="1">
        <v>18</v>
      </c>
      <c r="K87" s="3">
        <v>96.52</v>
      </c>
      <c r="L87" s="4">
        <v>0.03</v>
      </c>
      <c r="M87" s="3">
        <v>1685.27</v>
      </c>
      <c r="N87" s="3">
        <v>364.7</v>
      </c>
    </row>
    <row r="88" spans="1:14" x14ac:dyDescent="0.45">
      <c r="A88" s="1" t="s">
        <v>154</v>
      </c>
      <c r="B88" s="2">
        <v>44725</v>
      </c>
      <c r="C88" s="1" t="s">
        <v>14</v>
      </c>
      <c r="D88" s="1" t="s">
        <v>15</v>
      </c>
      <c r="E88" s="1" t="s">
        <v>106</v>
      </c>
      <c r="F88" s="1" t="s">
        <v>24</v>
      </c>
      <c r="G88" s="1" t="s">
        <v>57</v>
      </c>
      <c r="H88" s="1" t="s">
        <v>51</v>
      </c>
      <c r="I88" s="1" t="s">
        <v>20</v>
      </c>
      <c r="J88" s="1">
        <v>15</v>
      </c>
      <c r="K88" s="3">
        <v>90.04</v>
      </c>
      <c r="L88" s="4">
        <v>0</v>
      </c>
      <c r="M88" s="3">
        <v>1350.58</v>
      </c>
      <c r="N88" s="3">
        <v>245.37</v>
      </c>
    </row>
    <row r="89" spans="1:14" x14ac:dyDescent="0.45">
      <c r="A89" s="1" t="s">
        <v>155</v>
      </c>
      <c r="B89" s="2">
        <v>44739</v>
      </c>
      <c r="C89" s="1" t="s">
        <v>29</v>
      </c>
      <c r="D89" s="1" t="s">
        <v>37</v>
      </c>
      <c r="E89" s="1" t="s">
        <v>41</v>
      </c>
      <c r="F89" s="1" t="s">
        <v>32</v>
      </c>
      <c r="G89" s="1" t="s">
        <v>61</v>
      </c>
      <c r="H89" s="1" t="s">
        <v>51</v>
      </c>
      <c r="I89" s="1" t="s">
        <v>42</v>
      </c>
      <c r="J89" s="1">
        <v>14</v>
      </c>
      <c r="K89" s="3">
        <v>89.62</v>
      </c>
      <c r="L89" s="4">
        <v>0.1</v>
      </c>
      <c r="M89" s="3">
        <v>1129.17</v>
      </c>
      <c r="N89" s="3">
        <v>217.03</v>
      </c>
    </row>
    <row r="90" spans="1:14" x14ac:dyDescent="0.45">
      <c r="A90" s="1" t="s">
        <v>156</v>
      </c>
      <c r="B90" s="2">
        <v>44742</v>
      </c>
      <c r="C90" s="1" t="s">
        <v>14</v>
      </c>
      <c r="D90" s="1" t="s">
        <v>15</v>
      </c>
      <c r="E90" s="1" t="s">
        <v>16</v>
      </c>
      <c r="F90" s="1" t="s">
        <v>24</v>
      </c>
      <c r="G90" s="1" t="s">
        <v>66</v>
      </c>
      <c r="H90" s="1" t="s">
        <v>26</v>
      </c>
      <c r="I90" s="1" t="s">
        <v>42</v>
      </c>
      <c r="J90" s="1">
        <v>11</v>
      </c>
      <c r="K90" s="3">
        <v>104.07</v>
      </c>
      <c r="L90" s="4">
        <v>0.1</v>
      </c>
      <c r="M90" s="3">
        <v>1030.26</v>
      </c>
      <c r="N90" s="3">
        <v>138.74</v>
      </c>
    </row>
    <row r="91" spans="1:14" x14ac:dyDescent="0.45">
      <c r="A91" s="1" t="s">
        <v>157</v>
      </c>
      <c r="B91" s="2">
        <v>44719</v>
      </c>
      <c r="C91" s="1" t="s">
        <v>48</v>
      </c>
      <c r="D91" s="1" t="s">
        <v>49</v>
      </c>
      <c r="E91" s="1" t="s">
        <v>45</v>
      </c>
      <c r="F91" s="1" t="s">
        <v>24</v>
      </c>
      <c r="G91" s="1" t="s">
        <v>57</v>
      </c>
      <c r="H91" s="1" t="s">
        <v>51</v>
      </c>
      <c r="I91" s="1" t="s">
        <v>35</v>
      </c>
      <c r="J91" s="1">
        <v>1</v>
      </c>
      <c r="K91" s="3">
        <v>273.77999999999997</v>
      </c>
      <c r="L91" s="4">
        <v>0</v>
      </c>
      <c r="M91" s="3">
        <v>273.77999999999997</v>
      </c>
      <c r="N91" s="3">
        <v>-6.12</v>
      </c>
    </row>
    <row r="92" spans="1:14" x14ac:dyDescent="0.45">
      <c r="A92" s="1" t="s">
        <v>158</v>
      </c>
      <c r="B92" s="2">
        <v>44722</v>
      </c>
      <c r="C92" s="1" t="s">
        <v>14</v>
      </c>
      <c r="D92" s="1" t="s">
        <v>15</v>
      </c>
      <c r="E92" s="1" t="s">
        <v>87</v>
      </c>
      <c r="F92" s="1" t="s">
        <v>24</v>
      </c>
      <c r="G92" s="1" t="s">
        <v>61</v>
      </c>
      <c r="H92" s="1" t="s">
        <v>51</v>
      </c>
      <c r="I92" s="1" t="s">
        <v>20</v>
      </c>
      <c r="J92" s="1">
        <v>7</v>
      </c>
      <c r="K92" s="3">
        <v>91.25</v>
      </c>
      <c r="L92" s="4">
        <v>7.0000000000000007E-2</v>
      </c>
      <c r="M92" s="3">
        <v>594.02</v>
      </c>
      <c r="N92" s="3">
        <v>104.74</v>
      </c>
    </row>
    <row r="93" spans="1:14" x14ac:dyDescent="0.45">
      <c r="A93" s="1" t="s">
        <v>159</v>
      </c>
      <c r="B93" s="2">
        <v>44757</v>
      </c>
      <c r="C93" s="1" t="s">
        <v>48</v>
      </c>
      <c r="D93" s="1" t="s">
        <v>49</v>
      </c>
      <c r="E93" s="1" t="s">
        <v>89</v>
      </c>
      <c r="F93" s="1" t="s">
        <v>24</v>
      </c>
      <c r="G93" s="1" t="s">
        <v>25</v>
      </c>
      <c r="H93" s="1" t="s">
        <v>26</v>
      </c>
      <c r="I93" s="1" t="s">
        <v>35</v>
      </c>
      <c r="J93" s="1">
        <v>8</v>
      </c>
      <c r="K93" s="3">
        <v>297.27999999999997</v>
      </c>
      <c r="L93" s="4">
        <v>0</v>
      </c>
      <c r="M93" s="3">
        <v>2378.27</v>
      </c>
      <c r="N93" s="3">
        <v>589.55999999999995</v>
      </c>
    </row>
    <row r="94" spans="1:14" x14ac:dyDescent="0.45">
      <c r="A94" s="1" t="s">
        <v>160</v>
      </c>
      <c r="B94" s="2">
        <v>44757</v>
      </c>
      <c r="C94" s="1" t="s">
        <v>48</v>
      </c>
      <c r="D94" s="1" t="s">
        <v>78</v>
      </c>
      <c r="E94" s="1" t="s">
        <v>41</v>
      </c>
      <c r="F94" s="1" t="s">
        <v>32</v>
      </c>
      <c r="G94" s="1" t="s">
        <v>33</v>
      </c>
      <c r="H94" s="1" t="s">
        <v>34</v>
      </c>
      <c r="I94" s="1" t="s">
        <v>35</v>
      </c>
      <c r="J94" s="1">
        <v>5</v>
      </c>
      <c r="K94" s="3">
        <v>514.73</v>
      </c>
      <c r="L94" s="4">
        <v>0.05</v>
      </c>
      <c r="M94" s="3">
        <v>2444.9699999999998</v>
      </c>
      <c r="N94" s="3">
        <v>538.91</v>
      </c>
    </row>
    <row r="95" spans="1:14" x14ac:dyDescent="0.45">
      <c r="A95" s="1" t="s">
        <v>161</v>
      </c>
      <c r="B95" s="2">
        <v>44762</v>
      </c>
      <c r="C95" s="1" t="s">
        <v>14</v>
      </c>
      <c r="D95" s="1" t="s">
        <v>80</v>
      </c>
      <c r="E95" s="1" t="s">
        <v>63</v>
      </c>
      <c r="F95" s="1" t="s">
        <v>17</v>
      </c>
      <c r="G95" s="1" t="s">
        <v>57</v>
      </c>
      <c r="H95" s="1" t="s">
        <v>51</v>
      </c>
      <c r="I95" s="1" t="s">
        <v>39</v>
      </c>
      <c r="J95" s="1">
        <v>6</v>
      </c>
      <c r="K95" s="3">
        <v>336.21</v>
      </c>
      <c r="L95" s="4">
        <v>0.1</v>
      </c>
      <c r="M95" s="3">
        <v>1815.51</v>
      </c>
      <c r="N95" s="3">
        <v>237.57</v>
      </c>
    </row>
    <row r="96" spans="1:14" x14ac:dyDescent="0.45">
      <c r="A96" s="1" t="s">
        <v>162</v>
      </c>
      <c r="B96" s="2">
        <v>44761</v>
      </c>
      <c r="C96" s="1" t="s">
        <v>29</v>
      </c>
      <c r="D96" s="1" t="s">
        <v>30</v>
      </c>
      <c r="E96" s="1" t="s">
        <v>38</v>
      </c>
      <c r="F96" s="1" t="s">
        <v>24</v>
      </c>
      <c r="G96" s="1" t="s">
        <v>74</v>
      </c>
      <c r="H96" s="1" t="s">
        <v>26</v>
      </c>
      <c r="I96" s="1" t="s">
        <v>42</v>
      </c>
      <c r="J96" s="1">
        <v>17</v>
      </c>
      <c r="K96" s="3">
        <v>46.56</v>
      </c>
      <c r="L96" s="4">
        <v>0.03</v>
      </c>
      <c r="M96" s="3">
        <v>767.74</v>
      </c>
      <c r="N96" s="3">
        <v>124.22</v>
      </c>
    </row>
    <row r="97" spans="1:14" x14ac:dyDescent="0.45">
      <c r="A97" s="1" t="s">
        <v>163</v>
      </c>
      <c r="B97" s="2">
        <v>44764</v>
      </c>
      <c r="C97" s="1" t="s">
        <v>14</v>
      </c>
      <c r="D97" s="1" t="s">
        <v>15</v>
      </c>
      <c r="E97" s="1" t="s">
        <v>104</v>
      </c>
      <c r="F97" s="1" t="s">
        <v>32</v>
      </c>
      <c r="G97" s="1" t="s">
        <v>25</v>
      </c>
      <c r="H97" s="1" t="s">
        <v>26</v>
      </c>
      <c r="I97" s="1" t="s">
        <v>42</v>
      </c>
      <c r="J97" s="1">
        <v>6</v>
      </c>
      <c r="K97" s="3">
        <v>91.8</v>
      </c>
      <c r="L97" s="4">
        <v>0.1</v>
      </c>
      <c r="M97" s="3">
        <v>495.71</v>
      </c>
      <c r="N97" s="3">
        <v>97.19</v>
      </c>
    </row>
    <row r="98" spans="1:14" x14ac:dyDescent="0.45">
      <c r="A98" s="1" t="s">
        <v>164</v>
      </c>
      <c r="B98" s="2">
        <v>44761</v>
      </c>
      <c r="C98" s="1" t="s">
        <v>14</v>
      </c>
      <c r="D98" s="1" t="s">
        <v>15</v>
      </c>
      <c r="E98" s="1" t="s">
        <v>56</v>
      </c>
      <c r="F98" s="1" t="s">
        <v>17</v>
      </c>
      <c r="G98" s="1" t="s">
        <v>46</v>
      </c>
      <c r="H98" s="1" t="s">
        <v>26</v>
      </c>
      <c r="I98" s="1" t="s">
        <v>35</v>
      </c>
      <c r="J98" s="1">
        <v>12</v>
      </c>
      <c r="K98" s="3">
        <v>87.85</v>
      </c>
      <c r="L98" s="4">
        <v>0</v>
      </c>
      <c r="M98" s="3">
        <v>1054.25</v>
      </c>
      <c r="N98" s="3">
        <v>177.71</v>
      </c>
    </row>
    <row r="99" spans="1:14" x14ac:dyDescent="0.45">
      <c r="A99" s="1" t="s">
        <v>165</v>
      </c>
      <c r="B99" s="2">
        <v>44748</v>
      </c>
      <c r="C99" s="1" t="s">
        <v>48</v>
      </c>
      <c r="D99" s="1" t="s">
        <v>78</v>
      </c>
      <c r="E99" s="1" t="s">
        <v>45</v>
      </c>
      <c r="F99" s="1" t="s">
        <v>32</v>
      </c>
      <c r="G99" s="1" t="s">
        <v>18</v>
      </c>
      <c r="H99" s="1" t="s">
        <v>19</v>
      </c>
      <c r="I99" s="1" t="s">
        <v>39</v>
      </c>
      <c r="J99" s="1">
        <v>5</v>
      </c>
      <c r="K99" s="3">
        <v>458.13</v>
      </c>
      <c r="L99" s="4">
        <v>0.03</v>
      </c>
      <c r="M99" s="3">
        <v>2221.91</v>
      </c>
      <c r="N99" s="3">
        <v>504.13</v>
      </c>
    </row>
    <row r="100" spans="1:14" x14ac:dyDescent="0.45">
      <c r="A100" s="1" t="s">
        <v>166</v>
      </c>
      <c r="B100" s="2">
        <v>44756</v>
      </c>
      <c r="C100" s="1" t="s">
        <v>14</v>
      </c>
      <c r="D100" s="1" t="s">
        <v>22</v>
      </c>
      <c r="E100" s="1" t="s">
        <v>73</v>
      </c>
      <c r="F100" s="1" t="s">
        <v>32</v>
      </c>
      <c r="G100" s="1" t="s">
        <v>61</v>
      </c>
      <c r="H100" s="1" t="s">
        <v>51</v>
      </c>
      <c r="I100" s="1" t="s">
        <v>27</v>
      </c>
      <c r="J100" s="1">
        <v>7</v>
      </c>
      <c r="K100" s="3">
        <v>1273.04</v>
      </c>
      <c r="L100" s="4">
        <v>7.0000000000000007E-2</v>
      </c>
      <c r="M100" s="3">
        <v>8287.51</v>
      </c>
      <c r="N100" s="3">
        <v>1185.05</v>
      </c>
    </row>
    <row r="101" spans="1:14" x14ac:dyDescent="0.45">
      <c r="A101" s="1" t="s">
        <v>167</v>
      </c>
      <c r="B101" s="2">
        <v>44748</v>
      </c>
      <c r="C101" s="1" t="s">
        <v>48</v>
      </c>
      <c r="D101" s="1" t="s">
        <v>91</v>
      </c>
      <c r="E101" s="1" t="s">
        <v>63</v>
      </c>
      <c r="F101" s="1" t="s">
        <v>24</v>
      </c>
      <c r="G101" s="1" t="s">
        <v>46</v>
      </c>
      <c r="H101" s="1" t="s">
        <v>26</v>
      </c>
      <c r="I101" s="1" t="s">
        <v>20</v>
      </c>
      <c r="J101" s="1">
        <v>8</v>
      </c>
      <c r="K101" s="3">
        <v>485.42</v>
      </c>
      <c r="L101" s="4">
        <v>7.0000000000000007E-2</v>
      </c>
      <c r="M101" s="3">
        <v>3611.53</v>
      </c>
      <c r="N101" s="3">
        <v>589.29999999999995</v>
      </c>
    </row>
    <row r="102" spans="1:14" x14ac:dyDescent="0.45">
      <c r="A102" s="1" t="s">
        <v>168</v>
      </c>
      <c r="B102" s="2">
        <v>44755</v>
      </c>
      <c r="C102" s="1" t="s">
        <v>48</v>
      </c>
      <c r="D102" s="1" t="s">
        <v>91</v>
      </c>
      <c r="E102" s="1" t="s">
        <v>31</v>
      </c>
      <c r="F102" s="1" t="s">
        <v>17</v>
      </c>
      <c r="G102" s="1" t="s">
        <v>18</v>
      </c>
      <c r="H102" s="1" t="s">
        <v>19</v>
      </c>
      <c r="I102" s="1" t="s">
        <v>20</v>
      </c>
      <c r="J102" s="1">
        <v>1</v>
      </c>
      <c r="K102" s="3">
        <v>568.84</v>
      </c>
      <c r="L102" s="4">
        <v>0.03</v>
      </c>
      <c r="M102" s="3">
        <v>551.78</v>
      </c>
      <c r="N102" s="3">
        <v>99.39</v>
      </c>
    </row>
    <row r="103" spans="1:14" x14ac:dyDescent="0.45">
      <c r="A103" s="1" t="s">
        <v>169</v>
      </c>
      <c r="B103" s="2">
        <v>44749</v>
      </c>
      <c r="C103" s="1" t="s">
        <v>48</v>
      </c>
      <c r="D103" s="1" t="s">
        <v>49</v>
      </c>
      <c r="E103" s="1" t="s">
        <v>89</v>
      </c>
      <c r="F103" s="1" t="s">
        <v>32</v>
      </c>
      <c r="G103" s="1" t="s">
        <v>61</v>
      </c>
      <c r="H103" s="1" t="s">
        <v>51</v>
      </c>
      <c r="I103" s="1" t="s">
        <v>42</v>
      </c>
      <c r="J103" s="1">
        <v>7</v>
      </c>
      <c r="K103" s="3">
        <v>320.52</v>
      </c>
      <c r="L103" s="4">
        <v>0.1</v>
      </c>
      <c r="M103" s="3">
        <v>2019.26</v>
      </c>
      <c r="N103" s="3">
        <v>359.22</v>
      </c>
    </row>
    <row r="104" spans="1:14" x14ac:dyDescent="0.45">
      <c r="A104" s="1" t="s">
        <v>170</v>
      </c>
      <c r="B104" s="2">
        <v>44749</v>
      </c>
      <c r="C104" s="1" t="s">
        <v>29</v>
      </c>
      <c r="D104" s="1" t="s">
        <v>37</v>
      </c>
      <c r="E104" s="1" t="s">
        <v>81</v>
      </c>
      <c r="F104" s="1" t="s">
        <v>17</v>
      </c>
      <c r="G104" s="1" t="s">
        <v>61</v>
      </c>
      <c r="H104" s="1" t="s">
        <v>51</v>
      </c>
      <c r="I104" s="1" t="s">
        <v>42</v>
      </c>
      <c r="J104" s="1">
        <v>13</v>
      </c>
      <c r="K104" s="3">
        <v>78.69</v>
      </c>
      <c r="L104" s="4">
        <v>0.05</v>
      </c>
      <c r="M104" s="3">
        <v>971.84</v>
      </c>
      <c r="N104" s="3">
        <v>195.58</v>
      </c>
    </row>
    <row r="105" spans="1:14" x14ac:dyDescent="0.45">
      <c r="A105" s="1" t="s">
        <v>171</v>
      </c>
      <c r="B105" s="2">
        <v>44748</v>
      </c>
      <c r="C105" s="1" t="s">
        <v>48</v>
      </c>
      <c r="D105" s="1" t="s">
        <v>91</v>
      </c>
      <c r="E105" s="1" t="s">
        <v>92</v>
      </c>
      <c r="F105" s="1" t="s">
        <v>17</v>
      </c>
      <c r="G105" s="1" t="s">
        <v>50</v>
      </c>
      <c r="H105" s="1" t="s">
        <v>51</v>
      </c>
      <c r="I105" s="1" t="s">
        <v>39</v>
      </c>
      <c r="J105" s="1">
        <v>5</v>
      </c>
      <c r="K105" s="3">
        <v>517.79999999999995</v>
      </c>
      <c r="L105" s="4">
        <v>0</v>
      </c>
      <c r="M105" s="3">
        <v>2588.9899999999998</v>
      </c>
      <c r="N105" s="3">
        <v>515.58000000000004</v>
      </c>
    </row>
    <row r="106" spans="1:14" x14ac:dyDescent="0.45">
      <c r="A106" s="1" t="s">
        <v>172</v>
      </c>
      <c r="B106" s="2">
        <v>44769</v>
      </c>
      <c r="C106" s="1" t="s">
        <v>48</v>
      </c>
      <c r="D106" s="1" t="s">
        <v>49</v>
      </c>
      <c r="E106" s="1" t="s">
        <v>106</v>
      </c>
      <c r="F106" s="1" t="s">
        <v>17</v>
      </c>
      <c r="G106" s="1" t="s">
        <v>74</v>
      </c>
      <c r="H106" s="1" t="s">
        <v>26</v>
      </c>
      <c r="I106" s="1" t="s">
        <v>35</v>
      </c>
      <c r="J106" s="1">
        <v>4</v>
      </c>
      <c r="K106" s="3">
        <v>306.24</v>
      </c>
      <c r="L106" s="4">
        <v>7.0000000000000007E-2</v>
      </c>
      <c r="M106" s="3">
        <v>1139.22</v>
      </c>
      <c r="N106" s="3">
        <v>128.44999999999999</v>
      </c>
    </row>
    <row r="107" spans="1:14" x14ac:dyDescent="0.45">
      <c r="A107" s="1" t="s">
        <v>173</v>
      </c>
      <c r="B107" s="2">
        <v>44753</v>
      </c>
      <c r="C107" s="1" t="s">
        <v>14</v>
      </c>
      <c r="D107" s="1" t="s">
        <v>15</v>
      </c>
      <c r="E107" s="1" t="s">
        <v>16</v>
      </c>
      <c r="F107" s="1" t="s">
        <v>32</v>
      </c>
      <c r="G107" s="1" t="s">
        <v>25</v>
      </c>
      <c r="H107" s="1" t="s">
        <v>26</v>
      </c>
      <c r="I107" s="1" t="s">
        <v>20</v>
      </c>
      <c r="J107" s="1">
        <v>2</v>
      </c>
      <c r="K107" s="3">
        <v>87.41</v>
      </c>
      <c r="L107" s="4">
        <v>0</v>
      </c>
      <c r="M107" s="3">
        <v>174.82</v>
      </c>
      <c r="N107" s="3">
        <v>-26.13</v>
      </c>
    </row>
    <row r="108" spans="1:14" x14ac:dyDescent="0.45">
      <c r="A108" s="1" t="s">
        <v>174</v>
      </c>
      <c r="B108" s="2">
        <v>44763</v>
      </c>
      <c r="C108" s="1" t="s">
        <v>14</v>
      </c>
      <c r="D108" s="1" t="s">
        <v>15</v>
      </c>
      <c r="E108" s="1" t="s">
        <v>56</v>
      </c>
      <c r="F108" s="1" t="s">
        <v>17</v>
      </c>
      <c r="G108" s="1" t="s">
        <v>54</v>
      </c>
      <c r="H108" s="1" t="s">
        <v>51</v>
      </c>
      <c r="I108" s="1" t="s">
        <v>35</v>
      </c>
      <c r="J108" s="1">
        <v>9</v>
      </c>
      <c r="K108" s="3">
        <v>104.6</v>
      </c>
      <c r="L108" s="4">
        <v>0</v>
      </c>
      <c r="M108" s="3">
        <v>941.42</v>
      </c>
      <c r="N108" s="3">
        <v>228.51</v>
      </c>
    </row>
    <row r="109" spans="1:14" x14ac:dyDescent="0.45">
      <c r="A109" s="1" t="s">
        <v>175</v>
      </c>
      <c r="B109" s="2">
        <v>44768</v>
      </c>
      <c r="C109" s="1" t="s">
        <v>48</v>
      </c>
      <c r="D109" s="1" t="s">
        <v>49</v>
      </c>
      <c r="E109" s="1" t="s">
        <v>69</v>
      </c>
      <c r="F109" s="1" t="s">
        <v>32</v>
      </c>
      <c r="G109" s="1" t="s">
        <v>66</v>
      </c>
      <c r="H109" s="1" t="s">
        <v>26</v>
      </c>
      <c r="I109" s="1" t="s">
        <v>35</v>
      </c>
      <c r="J109" s="1">
        <v>2</v>
      </c>
      <c r="K109" s="3">
        <v>320.51</v>
      </c>
      <c r="L109" s="4">
        <v>0</v>
      </c>
      <c r="M109" s="3">
        <v>641.02</v>
      </c>
      <c r="N109" s="3">
        <v>152.76</v>
      </c>
    </row>
    <row r="110" spans="1:14" x14ac:dyDescent="0.45">
      <c r="A110" s="1" t="s">
        <v>176</v>
      </c>
      <c r="B110" s="2">
        <v>44776</v>
      </c>
      <c r="C110" s="1" t="s">
        <v>29</v>
      </c>
      <c r="D110" s="1" t="s">
        <v>37</v>
      </c>
      <c r="E110" s="1" t="s">
        <v>38</v>
      </c>
      <c r="F110" s="1" t="s">
        <v>32</v>
      </c>
      <c r="G110" s="1" t="s">
        <v>54</v>
      </c>
      <c r="H110" s="1" t="s">
        <v>51</v>
      </c>
      <c r="I110" s="1" t="s">
        <v>39</v>
      </c>
      <c r="J110" s="1">
        <v>15</v>
      </c>
      <c r="K110" s="3">
        <v>97.19</v>
      </c>
      <c r="L110" s="4">
        <v>0.05</v>
      </c>
      <c r="M110" s="3">
        <v>1384.99</v>
      </c>
      <c r="N110" s="3">
        <v>292.07</v>
      </c>
    </row>
    <row r="111" spans="1:14" x14ac:dyDescent="0.45">
      <c r="A111" s="1" t="s">
        <v>177</v>
      </c>
      <c r="B111" s="2">
        <v>44799</v>
      </c>
      <c r="C111" s="1" t="s">
        <v>29</v>
      </c>
      <c r="D111" s="1" t="s">
        <v>37</v>
      </c>
      <c r="E111" s="1" t="s">
        <v>41</v>
      </c>
      <c r="F111" s="1" t="s">
        <v>17</v>
      </c>
      <c r="G111" s="1" t="s">
        <v>33</v>
      </c>
      <c r="H111" s="1" t="s">
        <v>34</v>
      </c>
      <c r="I111" s="1" t="s">
        <v>35</v>
      </c>
      <c r="J111" s="1">
        <v>12</v>
      </c>
      <c r="K111" s="3">
        <v>90.03</v>
      </c>
      <c r="L111" s="4">
        <v>7.0000000000000007E-2</v>
      </c>
      <c r="M111" s="3">
        <v>1004.68</v>
      </c>
      <c r="N111" s="3">
        <v>186.08</v>
      </c>
    </row>
    <row r="112" spans="1:14" x14ac:dyDescent="0.45">
      <c r="A112" s="1" t="s">
        <v>178</v>
      </c>
      <c r="B112" s="2">
        <v>44790</v>
      </c>
      <c r="C112" s="1" t="s">
        <v>29</v>
      </c>
      <c r="D112" s="1" t="s">
        <v>30</v>
      </c>
      <c r="E112" s="1" t="s">
        <v>73</v>
      </c>
      <c r="F112" s="1" t="s">
        <v>24</v>
      </c>
      <c r="G112" s="1" t="s">
        <v>66</v>
      </c>
      <c r="H112" s="1" t="s">
        <v>26</v>
      </c>
      <c r="I112" s="1" t="s">
        <v>20</v>
      </c>
      <c r="J112" s="1">
        <v>15</v>
      </c>
      <c r="K112" s="3">
        <v>51.68</v>
      </c>
      <c r="L112" s="4">
        <v>0</v>
      </c>
      <c r="M112" s="3">
        <v>775.23</v>
      </c>
      <c r="N112" s="3">
        <v>70.53</v>
      </c>
    </row>
    <row r="113" spans="1:14" x14ac:dyDescent="0.45">
      <c r="A113" s="1" t="s">
        <v>179</v>
      </c>
      <c r="B113" s="2">
        <v>44776</v>
      </c>
      <c r="C113" s="1" t="s">
        <v>29</v>
      </c>
      <c r="D113" s="1" t="s">
        <v>37</v>
      </c>
      <c r="E113" s="1" t="s">
        <v>53</v>
      </c>
      <c r="F113" s="1" t="s">
        <v>32</v>
      </c>
      <c r="G113" s="1" t="s">
        <v>66</v>
      </c>
      <c r="H113" s="1" t="s">
        <v>26</v>
      </c>
      <c r="I113" s="1" t="s">
        <v>35</v>
      </c>
      <c r="J113" s="1">
        <v>10</v>
      </c>
      <c r="K113" s="3">
        <v>85.21</v>
      </c>
      <c r="L113" s="4">
        <v>0</v>
      </c>
      <c r="M113" s="3">
        <v>852.08</v>
      </c>
      <c r="N113" s="3">
        <v>163.81</v>
      </c>
    </row>
    <row r="114" spans="1:14" x14ac:dyDescent="0.45">
      <c r="A114" s="1" t="s">
        <v>180</v>
      </c>
      <c r="B114" s="2">
        <v>44797</v>
      </c>
      <c r="C114" s="1" t="s">
        <v>14</v>
      </c>
      <c r="D114" s="1" t="s">
        <v>22</v>
      </c>
      <c r="E114" s="1" t="s">
        <v>63</v>
      </c>
      <c r="F114" s="1" t="s">
        <v>24</v>
      </c>
      <c r="G114" s="1" t="s">
        <v>61</v>
      </c>
      <c r="H114" s="1" t="s">
        <v>51</v>
      </c>
      <c r="I114" s="1" t="s">
        <v>42</v>
      </c>
      <c r="J114" s="1">
        <v>6</v>
      </c>
      <c r="K114" s="3">
        <v>1479.85</v>
      </c>
      <c r="L114" s="4">
        <v>7.0000000000000007E-2</v>
      </c>
      <c r="M114" s="3">
        <v>8257.5499999999993</v>
      </c>
      <c r="N114" s="3">
        <v>1065.6199999999999</v>
      </c>
    </row>
    <row r="115" spans="1:14" x14ac:dyDescent="0.45">
      <c r="A115" s="1" t="s">
        <v>181</v>
      </c>
      <c r="B115" s="2">
        <v>44785</v>
      </c>
      <c r="C115" s="1" t="s">
        <v>29</v>
      </c>
      <c r="D115" s="1" t="s">
        <v>37</v>
      </c>
      <c r="E115" s="1" t="s">
        <v>31</v>
      </c>
      <c r="F115" s="1" t="s">
        <v>32</v>
      </c>
      <c r="G115" s="1" t="s">
        <v>66</v>
      </c>
      <c r="H115" s="1" t="s">
        <v>26</v>
      </c>
      <c r="I115" s="1" t="s">
        <v>42</v>
      </c>
      <c r="J115" s="1">
        <v>15</v>
      </c>
      <c r="K115" s="3">
        <v>91.14</v>
      </c>
      <c r="L115" s="4">
        <v>0.1</v>
      </c>
      <c r="M115" s="3">
        <v>1230.43</v>
      </c>
      <c r="N115" s="3">
        <v>190.49</v>
      </c>
    </row>
    <row r="116" spans="1:14" x14ac:dyDescent="0.45">
      <c r="A116" s="1" t="s">
        <v>182</v>
      </c>
      <c r="B116" s="2">
        <v>44777</v>
      </c>
      <c r="C116" s="1" t="s">
        <v>29</v>
      </c>
      <c r="D116" s="1" t="s">
        <v>30</v>
      </c>
      <c r="E116" s="1" t="s">
        <v>23</v>
      </c>
      <c r="F116" s="1" t="s">
        <v>17</v>
      </c>
      <c r="G116" s="1" t="s">
        <v>74</v>
      </c>
      <c r="H116" s="1" t="s">
        <v>26</v>
      </c>
      <c r="I116" s="1" t="s">
        <v>20</v>
      </c>
      <c r="J116" s="1">
        <v>17</v>
      </c>
      <c r="K116" s="3">
        <v>44.48</v>
      </c>
      <c r="L116" s="4">
        <v>0</v>
      </c>
      <c r="M116" s="3">
        <v>756.2</v>
      </c>
      <c r="N116" s="3">
        <v>76.760000000000005</v>
      </c>
    </row>
    <row r="117" spans="1:14" x14ac:dyDescent="0.45">
      <c r="A117" s="1" t="s">
        <v>183</v>
      </c>
      <c r="B117" s="2">
        <v>44781</v>
      </c>
      <c r="C117" s="1" t="s">
        <v>29</v>
      </c>
      <c r="D117" s="1" t="s">
        <v>37</v>
      </c>
      <c r="E117" s="1" t="s">
        <v>31</v>
      </c>
      <c r="F117" s="1" t="s">
        <v>24</v>
      </c>
      <c r="G117" s="1" t="s">
        <v>25</v>
      </c>
      <c r="H117" s="1" t="s">
        <v>26</v>
      </c>
      <c r="I117" s="1" t="s">
        <v>67</v>
      </c>
      <c r="J117" s="1">
        <v>2</v>
      </c>
      <c r="K117" s="3">
        <v>83.95</v>
      </c>
      <c r="L117" s="4">
        <v>0.1</v>
      </c>
      <c r="M117" s="3">
        <v>151.12</v>
      </c>
      <c r="N117" s="3">
        <v>13.6</v>
      </c>
    </row>
    <row r="118" spans="1:14" x14ac:dyDescent="0.45">
      <c r="A118" s="1" t="s">
        <v>184</v>
      </c>
      <c r="B118" s="2">
        <v>44802</v>
      </c>
      <c r="C118" s="1" t="s">
        <v>29</v>
      </c>
      <c r="D118" s="1" t="s">
        <v>37</v>
      </c>
      <c r="E118" s="1" t="s">
        <v>53</v>
      </c>
      <c r="F118" s="1" t="s">
        <v>32</v>
      </c>
      <c r="G118" s="1" t="s">
        <v>18</v>
      </c>
      <c r="H118" s="1" t="s">
        <v>19</v>
      </c>
      <c r="I118" s="1" t="s">
        <v>27</v>
      </c>
      <c r="J118" s="1">
        <v>7</v>
      </c>
      <c r="K118" s="3">
        <v>84.41</v>
      </c>
      <c r="L118" s="4">
        <v>7.0000000000000007E-2</v>
      </c>
      <c r="M118" s="3">
        <v>549.52</v>
      </c>
      <c r="N118" s="3">
        <v>112.45</v>
      </c>
    </row>
    <row r="119" spans="1:14" x14ac:dyDescent="0.45">
      <c r="A119" s="1" t="s">
        <v>185</v>
      </c>
      <c r="B119" s="2">
        <v>44798</v>
      </c>
      <c r="C119" s="1" t="s">
        <v>14</v>
      </c>
      <c r="D119" s="1" t="s">
        <v>22</v>
      </c>
      <c r="E119" s="1" t="s">
        <v>95</v>
      </c>
      <c r="F119" s="1" t="s">
        <v>32</v>
      </c>
      <c r="G119" s="1" t="s">
        <v>50</v>
      </c>
      <c r="H119" s="1" t="s">
        <v>51</v>
      </c>
      <c r="I119" s="1" t="s">
        <v>39</v>
      </c>
      <c r="J119" s="1">
        <v>8</v>
      </c>
      <c r="K119" s="3">
        <v>1321.82</v>
      </c>
      <c r="L119" s="4">
        <v>0.03</v>
      </c>
      <c r="M119" s="3">
        <v>10257.35</v>
      </c>
      <c r="N119" s="3">
        <v>1661.42</v>
      </c>
    </row>
    <row r="120" spans="1:14" x14ac:dyDescent="0.45">
      <c r="A120" s="1" t="s">
        <v>186</v>
      </c>
      <c r="B120" s="2">
        <v>44799</v>
      </c>
      <c r="C120" s="1" t="s">
        <v>48</v>
      </c>
      <c r="D120" s="1" t="s">
        <v>49</v>
      </c>
      <c r="E120" s="1" t="s">
        <v>56</v>
      </c>
      <c r="F120" s="1" t="s">
        <v>17</v>
      </c>
      <c r="G120" s="1" t="s">
        <v>54</v>
      </c>
      <c r="H120" s="1" t="s">
        <v>51</v>
      </c>
      <c r="I120" s="1" t="s">
        <v>67</v>
      </c>
      <c r="J120" s="1">
        <v>1</v>
      </c>
      <c r="K120" s="3">
        <v>375.19</v>
      </c>
      <c r="L120" s="4">
        <v>0.03</v>
      </c>
      <c r="M120" s="3">
        <v>363.94</v>
      </c>
      <c r="N120" s="3">
        <v>13.54</v>
      </c>
    </row>
    <row r="121" spans="1:14" x14ac:dyDescent="0.45">
      <c r="A121" s="1" t="s">
        <v>187</v>
      </c>
      <c r="B121" s="2">
        <v>44796</v>
      </c>
      <c r="C121" s="1" t="s">
        <v>29</v>
      </c>
      <c r="D121" s="1" t="s">
        <v>44</v>
      </c>
      <c r="E121" s="1" t="s">
        <v>95</v>
      </c>
      <c r="F121" s="1" t="s">
        <v>24</v>
      </c>
      <c r="G121" s="1" t="s">
        <v>18</v>
      </c>
      <c r="H121" s="1" t="s">
        <v>19</v>
      </c>
      <c r="I121" s="1" t="s">
        <v>27</v>
      </c>
      <c r="J121" s="1">
        <v>13</v>
      </c>
      <c r="K121" s="3">
        <v>29.69</v>
      </c>
      <c r="L121" s="4">
        <v>0.03</v>
      </c>
      <c r="M121" s="3">
        <v>374.34</v>
      </c>
      <c r="N121" s="3">
        <v>39.340000000000003</v>
      </c>
    </row>
    <row r="122" spans="1:14" x14ac:dyDescent="0.45">
      <c r="A122" s="1" t="s">
        <v>188</v>
      </c>
      <c r="B122" s="2">
        <v>44784</v>
      </c>
      <c r="C122" s="1" t="s">
        <v>48</v>
      </c>
      <c r="D122" s="1" t="s">
        <v>91</v>
      </c>
      <c r="E122" s="1" t="s">
        <v>16</v>
      </c>
      <c r="F122" s="1" t="s">
        <v>32</v>
      </c>
      <c r="G122" s="1" t="s">
        <v>54</v>
      </c>
      <c r="H122" s="1" t="s">
        <v>51</v>
      </c>
      <c r="I122" s="1" t="s">
        <v>67</v>
      </c>
      <c r="J122" s="1">
        <v>1</v>
      </c>
      <c r="K122" s="3">
        <v>612.09</v>
      </c>
      <c r="L122" s="4">
        <v>0.03</v>
      </c>
      <c r="M122" s="3">
        <v>593.73</v>
      </c>
      <c r="N122" s="3">
        <v>32.270000000000003</v>
      </c>
    </row>
    <row r="123" spans="1:14" x14ac:dyDescent="0.45">
      <c r="A123" s="1" t="s">
        <v>189</v>
      </c>
      <c r="B123" s="2">
        <v>44797</v>
      </c>
      <c r="C123" s="1" t="s">
        <v>29</v>
      </c>
      <c r="D123" s="1" t="s">
        <v>44</v>
      </c>
      <c r="E123" s="1" t="s">
        <v>106</v>
      </c>
      <c r="F123" s="1" t="s">
        <v>32</v>
      </c>
      <c r="G123" s="1" t="s">
        <v>66</v>
      </c>
      <c r="H123" s="1" t="s">
        <v>26</v>
      </c>
      <c r="I123" s="1" t="s">
        <v>42</v>
      </c>
      <c r="J123" s="1">
        <v>15</v>
      </c>
      <c r="K123" s="3">
        <v>30.92</v>
      </c>
      <c r="L123" s="4">
        <v>0.05</v>
      </c>
      <c r="M123" s="3">
        <v>440.6</v>
      </c>
      <c r="N123" s="3">
        <v>65.7</v>
      </c>
    </row>
    <row r="124" spans="1:14" x14ac:dyDescent="0.45">
      <c r="A124" s="1" t="s">
        <v>190</v>
      </c>
      <c r="B124" s="2">
        <v>44798</v>
      </c>
      <c r="C124" s="1" t="s">
        <v>48</v>
      </c>
      <c r="D124" s="1" t="s">
        <v>91</v>
      </c>
      <c r="E124" s="1" t="s">
        <v>60</v>
      </c>
      <c r="F124" s="1" t="s">
        <v>24</v>
      </c>
      <c r="G124" s="1" t="s">
        <v>66</v>
      </c>
      <c r="H124" s="1" t="s">
        <v>26</v>
      </c>
      <c r="I124" s="1" t="s">
        <v>27</v>
      </c>
      <c r="J124" s="1">
        <v>7</v>
      </c>
      <c r="K124" s="3">
        <v>561.14</v>
      </c>
      <c r="L124" s="4">
        <v>0</v>
      </c>
      <c r="M124" s="3">
        <v>3927.98</v>
      </c>
      <c r="N124" s="3">
        <v>842.04</v>
      </c>
    </row>
    <row r="125" spans="1:14" x14ac:dyDescent="0.45">
      <c r="A125" s="1" t="s">
        <v>191</v>
      </c>
      <c r="B125" s="2">
        <v>44804</v>
      </c>
      <c r="C125" s="1" t="s">
        <v>29</v>
      </c>
      <c r="D125" s="1" t="s">
        <v>37</v>
      </c>
      <c r="E125" s="1" t="s">
        <v>65</v>
      </c>
      <c r="F125" s="1" t="s">
        <v>17</v>
      </c>
      <c r="G125" s="1" t="s">
        <v>61</v>
      </c>
      <c r="H125" s="1" t="s">
        <v>51</v>
      </c>
      <c r="I125" s="1" t="s">
        <v>39</v>
      </c>
      <c r="J125" s="1">
        <v>2</v>
      </c>
      <c r="K125" s="3">
        <v>90.61</v>
      </c>
      <c r="L125" s="4">
        <v>0</v>
      </c>
      <c r="M125" s="3">
        <v>181.23</v>
      </c>
      <c r="N125" s="3">
        <v>2.97</v>
      </c>
    </row>
    <row r="126" spans="1:14" x14ac:dyDescent="0.45">
      <c r="A126" s="1" t="s">
        <v>192</v>
      </c>
      <c r="B126" s="2">
        <v>44817</v>
      </c>
      <c r="C126" s="1" t="s">
        <v>14</v>
      </c>
      <c r="D126" s="1" t="s">
        <v>80</v>
      </c>
      <c r="E126" s="1" t="s">
        <v>16</v>
      </c>
      <c r="F126" s="1" t="s">
        <v>32</v>
      </c>
      <c r="G126" s="1" t="s">
        <v>66</v>
      </c>
      <c r="H126" s="1" t="s">
        <v>26</v>
      </c>
      <c r="I126" s="1" t="s">
        <v>67</v>
      </c>
      <c r="J126" s="1">
        <v>7</v>
      </c>
      <c r="K126" s="3">
        <v>416.76</v>
      </c>
      <c r="L126" s="4">
        <v>0.05</v>
      </c>
      <c r="M126" s="3">
        <v>2771.43</v>
      </c>
      <c r="N126" s="3">
        <v>605.22</v>
      </c>
    </row>
    <row r="127" spans="1:14" x14ac:dyDescent="0.45">
      <c r="A127" s="1" t="s">
        <v>193</v>
      </c>
      <c r="B127" s="2">
        <v>44834</v>
      </c>
      <c r="C127" s="1" t="s">
        <v>29</v>
      </c>
      <c r="D127" s="1" t="s">
        <v>30</v>
      </c>
      <c r="E127" s="1" t="s">
        <v>23</v>
      </c>
      <c r="F127" s="1" t="s">
        <v>24</v>
      </c>
      <c r="G127" s="1" t="s">
        <v>66</v>
      </c>
      <c r="H127" s="1" t="s">
        <v>26</v>
      </c>
      <c r="I127" s="1" t="s">
        <v>27</v>
      </c>
      <c r="J127" s="1">
        <v>18</v>
      </c>
      <c r="K127" s="3">
        <v>55.05</v>
      </c>
      <c r="L127" s="4">
        <v>0.03</v>
      </c>
      <c r="M127" s="3">
        <v>961.21</v>
      </c>
      <c r="N127" s="3">
        <v>87.81</v>
      </c>
    </row>
    <row r="128" spans="1:14" x14ac:dyDescent="0.45">
      <c r="A128" s="1" t="s">
        <v>194</v>
      </c>
      <c r="B128" s="2">
        <v>44834</v>
      </c>
      <c r="C128" s="1" t="s">
        <v>14</v>
      </c>
      <c r="D128" s="1" t="s">
        <v>22</v>
      </c>
      <c r="E128" s="1" t="s">
        <v>56</v>
      </c>
      <c r="F128" s="1" t="s">
        <v>32</v>
      </c>
      <c r="G128" s="1" t="s">
        <v>66</v>
      </c>
      <c r="H128" s="1" t="s">
        <v>26</v>
      </c>
      <c r="I128" s="1" t="s">
        <v>20</v>
      </c>
      <c r="J128" s="1">
        <v>3</v>
      </c>
      <c r="K128" s="3">
        <v>1548.8</v>
      </c>
      <c r="L128" s="4">
        <v>0.1</v>
      </c>
      <c r="M128" s="3">
        <v>4181.75</v>
      </c>
      <c r="N128" s="3">
        <v>479.41</v>
      </c>
    </row>
    <row r="129" spans="1:14" x14ac:dyDescent="0.45">
      <c r="A129" s="1" t="s">
        <v>195</v>
      </c>
      <c r="B129" s="2">
        <v>44827</v>
      </c>
      <c r="C129" s="1" t="s">
        <v>29</v>
      </c>
      <c r="D129" s="1" t="s">
        <v>44</v>
      </c>
      <c r="E129" s="1" t="s">
        <v>87</v>
      </c>
      <c r="F129" s="1" t="s">
        <v>32</v>
      </c>
      <c r="G129" s="1" t="s">
        <v>74</v>
      </c>
      <c r="H129" s="1" t="s">
        <v>26</v>
      </c>
      <c r="I129" s="1" t="s">
        <v>42</v>
      </c>
      <c r="J129" s="1">
        <v>12</v>
      </c>
      <c r="K129" s="3">
        <v>31.94</v>
      </c>
      <c r="L129" s="4">
        <v>0.1</v>
      </c>
      <c r="M129" s="3">
        <v>344.97</v>
      </c>
      <c r="N129" s="3">
        <v>29.57</v>
      </c>
    </row>
    <row r="130" spans="1:14" x14ac:dyDescent="0.45">
      <c r="A130" s="1" t="s">
        <v>196</v>
      </c>
      <c r="B130" s="2">
        <v>44823</v>
      </c>
      <c r="C130" s="1" t="s">
        <v>29</v>
      </c>
      <c r="D130" s="1" t="s">
        <v>37</v>
      </c>
      <c r="E130" s="1" t="s">
        <v>81</v>
      </c>
      <c r="F130" s="1" t="s">
        <v>24</v>
      </c>
      <c r="G130" s="1" t="s">
        <v>18</v>
      </c>
      <c r="H130" s="1" t="s">
        <v>19</v>
      </c>
      <c r="I130" s="1" t="s">
        <v>27</v>
      </c>
      <c r="J130" s="1">
        <v>13</v>
      </c>
      <c r="K130" s="3">
        <v>84.93</v>
      </c>
      <c r="L130" s="4">
        <v>0.03</v>
      </c>
      <c r="M130" s="3">
        <v>1070.92</v>
      </c>
      <c r="N130" s="3">
        <v>214.68</v>
      </c>
    </row>
    <row r="131" spans="1:14" x14ac:dyDescent="0.45">
      <c r="A131" s="1" t="s">
        <v>197</v>
      </c>
      <c r="B131" s="2">
        <v>44806</v>
      </c>
      <c r="C131" s="1" t="s">
        <v>29</v>
      </c>
      <c r="D131" s="1" t="s">
        <v>30</v>
      </c>
      <c r="E131" s="1" t="s">
        <v>104</v>
      </c>
      <c r="F131" s="1" t="s">
        <v>24</v>
      </c>
      <c r="G131" s="1" t="s">
        <v>66</v>
      </c>
      <c r="H131" s="1" t="s">
        <v>26</v>
      </c>
      <c r="I131" s="1" t="s">
        <v>67</v>
      </c>
      <c r="J131" s="1">
        <v>14</v>
      </c>
      <c r="K131" s="3">
        <v>54.69</v>
      </c>
      <c r="L131" s="4">
        <v>7.0000000000000007E-2</v>
      </c>
      <c r="M131" s="3">
        <v>712.09</v>
      </c>
      <c r="N131" s="3">
        <v>99.66</v>
      </c>
    </row>
    <row r="132" spans="1:14" x14ac:dyDescent="0.45">
      <c r="A132" s="1" t="s">
        <v>198</v>
      </c>
      <c r="B132" s="2">
        <v>44820</v>
      </c>
      <c r="C132" s="1" t="s">
        <v>29</v>
      </c>
      <c r="D132" s="1" t="s">
        <v>37</v>
      </c>
      <c r="E132" s="1" t="s">
        <v>53</v>
      </c>
      <c r="F132" s="1" t="s">
        <v>24</v>
      </c>
      <c r="G132" s="1" t="s">
        <v>25</v>
      </c>
      <c r="H132" s="1" t="s">
        <v>26</v>
      </c>
      <c r="I132" s="1" t="s">
        <v>39</v>
      </c>
      <c r="J132" s="1">
        <v>18</v>
      </c>
      <c r="K132" s="3">
        <v>83.16</v>
      </c>
      <c r="L132" s="4">
        <v>0</v>
      </c>
      <c r="M132" s="3">
        <v>1496.81</v>
      </c>
      <c r="N132" s="3">
        <v>264.60000000000002</v>
      </c>
    </row>
    <row r="133" spans="1:14" x14ac:dyDescent="0.45">
      <c r="A133" s="1" t="s">
        <v>199</v>
      </c>
      <c r="B133" s="2">
        <v>44823</v>
      </c>
      <c r="C133" s="1" t="s">
        <v>48</v>
      </c>
      <c r="D133" s="1" t="s">
        <v>49</v>
      </c>
      <c r="E133" s="1" t="s">
        <v>45</v>
      </c>
      <c r="F133" s="1" t="s">
        <v>17</v>
      </c>
      <c r="G133" s="1" t="s">
        <v>50</v>
      </c>
      <c r="H133" s="1" t="s">
        <v>51</v>
      </c>
      <c r="I133" s="1" t="s">
        <v>20</v>
      </c>
      <c r="J133" s="1">
        <v>8</v>
      </c>
      <c r="K133" s="3">
        <v>353.88</v>
      </c>
      <c r="L133" s="4">
        <v>7.0000000000000007E-2</v>
      </c>
      <c r="M133" s="3">
        <v>2632.85</v>
      </c>
      <c r="N133" s="3">
        <v>607.17999999999995</v>
      </c>
    </row>
    <row r="134" spans="1:14" x14ac:dyDescent="0.45">
      <c r="A134" s="1" t="s">
        <v>200</v>
      </c>
      <c r="B134" s="2">
        <v>44831</v>
      </c>
      <c r="C134" s="1" t="s">
        <v>29</v>
      </c>
      <c r="D134" s="1" t="s">
        <v>44</v>
      </c>
      <c r="E134" s="1" t="s">
        <v>53</v>
      </c>
      <c r="F134" s="1" t="s">
        <v>24</v>
      </c>
      <c r="G134" s="1" t="s">
        <v>61</v>
      </c>
      <c r="H134" s="1" t="s">
        <v>51</v>
      </c>
      <c r="I134" s="1" t="s">
        <v>67</v>
      </c>
      <c r="J134" s="1">
        <v>3</v>
      </c>
      <c r="K134" s="3">
        <v>34.92</v>
      </c>
      <c r="L134" s="4">
        <v>0.1</v>
      </c>
      <c r="M134" s="3">
        <v>94.28</v>
      </c>
      <c r="N134" s="3">
        <v>-9.5</v>
      </c>
    </row>
    <row r="135" spans="1:14" x14ac:dyDescent="0.45">
      <c r="A135" s="1" t="s">
        <v>201</v>
      </c>
      <c r="B135" s="2">
        <v>44819</v>
      </c>
      <c r="C135" s="1" t="s">
        <v>48</v>
      </c>
      <c r="D135" s="1" t="s">
        <v>91</v>
      </c>
      <c r="E135" s="1" t="s">
        <v>81</v>
      </c>
      <c r="F135" s="1" t="s">
        <v>24</v>
      </c>
      <c r="G135" s="1" t="s">
        <v>18</v>
      </c>
      <c r="H135" s="1" t="s">
        <v>19</v>
      </c>
      <c r="I135" s="1" t="s">
        <v>42</v>
      </c>
      <c r="J135" s="1">
        <v>3</v>
      </c>
      <c r="K135" s="3">
        <v>574.64</v>
      </c>
      <c r="L135" s="4">
        <v>7.0000000000000007E-2</v>
      </c>
      <c r="M135" s="3">
        <v>1603.24</v>
      </c>
      <c r="N135" s="3">
        <v>221.85</v>
      </c>
    </row>
    <row r="136" spans="1:14" x14ac:dyDescent="0.45">
      <c r="A136" s="1" t="s">
        <v>202</v>
      </c>
      <c r="B136" s="2">
        <v>44812</v>
      </c>
      <c r="C136" s="1" t="s">
        <v>48</v>
      </c>
      <c r="D136" s="1" t="s">
        <v>78</v>
      </c>
      <c r="E136" s="1" t="s">
        <v>56</v>
      </c>
      <c r="F136" s="1" t="s">
        <v>24</v>
      </c>
      <c r="G136" s="1" t="s">
        <v>61</v>
      </c>
      <c r="H136" s="1" t="s">
        <v>51</v>
      </c>
      <c r="I136" s="1" t="s">
        <v>42</v>
      </c>
      <c r="J136" s="1">
        <v>2</v>
      </c>
      <c r="K136" s="3">
        <v>501.99</v>
      </c>
      <c r="L136" s="4">
        <v>0.05</v>
      </c>
      <c r="M136" s="3">
        <v>953.78</v>
      </c>
      <c r="N136" s="3">
        <v>173.68</v>
      </c>
    </row>
    <row r="137" spans="1:14" x14ac:dyDescent="0.45">
      <c r="A137" s="1" t="s">
        <v>203</v>
      </c>
      <c r="B137" s="2">
        <v>44816</v>
      </c>
      <c r="C137" s="1" t="s">
        <v>48</v>
      </c>
      <c r="D137" s="1" t="s">
        <v>78</v>
      </c>
      <c r="E137" s="1" t="s">
        <v>41</v>
      </c>
      <c r="F137" s="1" t="s">
        <v>24</v>
      </c>
      <c r="G137" s="1" t="s">
        <v>50</v>
      </c>
      <c r="H137" s="1" t="s">
        <v>51</v>
      </c>
      <c r="I137" s="1" t="s">
        <v>42</v>
      </c>
      <c r="J137" s="1">
        <v>7</v>
      </c>
      <c r="K137" s="3">
        <v>491.86</v>
      </c>
      <c r="L137" s="4">
        <v>0</v>
      </c>
      <c r="M137" s="3">
        <v>3443.01</v>
      </c>
      <c r="N137" s="3">
        <v>720.8</v>
      </c>
    </row>
    <row r="138" spans="1:14" x14ac:dyDescent="0.45">
      <c r="A138" s="1" t="s">
        <v>204</v>
      </c>
      <c r="B138" s="2">
        <v>44830</v>
      </c>
      <c r="C138" s="1" t="s">
        <v>29</v>
      </c>
      <c r="D138" s="1" t="s">
        <v>44</v>
      </c>
      <c r="E138" s="1" t="s">
        <v>16</v>
      </c>
      <c r="F138" s="1" t="s">
        <v>17</v>
      </c>
      <c r="G138" s="1" t="s">
        <v>25</v>
      </c>
      <c r="H138" s="1" t="s">
        <v>26</v>
      </c>
      <c r="I138" s="1" t="s">
        <v>20</v>
      </c>
      <c r="J138" s="1">
        <v>4</v>
      </c>
      <c r="K138" s="3">
        <v>31.7</v>
      </c>
      <c r="L138" s="4">
        <v>0</v>
      </c>
      <c r="M138" s="3">
        <v>126.8</v>
      </c>
      <c r="N138" s="3">
        <v>-12.17</v>
      </c>
    </row>
    <row r="139" spans="1:14" x14ac:dyDescent="0.45">
      <c r="A139" s="1" t="s">
        <v>205</v>
      </c>
      <c r="B139" s="2">
        <v>44813</v>
      </c>
      <c r="C139" s="1" t="s">
        <v>14</v>
      </c>
      <c r="D139" s="1" t="s">
        <v>15</v>
      </c>
      <c r="E139" s="1" t="s">
        <v>104</v>
      </c>
      <c r="F139" s="1" t="s">
        <v>17</v>
      </c>
      <c r="G139" s="1" t="s">
        <v>46</v>
      </c>
      <c r="H139" s="1" t="s">
        <v>26</v>
      </c>
      <c r="I139" s="1" t="s">
        <v>67</v>
      </c>
      <c r="J139" s="1">
        <v>14</v>
      </c>
      <c r="K139" s="3">
        <v>88.8</v>
      </c>
      <c r="L139" s="4">
        <v>0</v>
      </c>
      <c r="M139" s="3">
        <v>1243.17</v>
      </c>
      <c r="N139" s="3">
        <v>302.56</v>
      </c>
    </row>
    <row r="140" spans="1:14" x14ac:dyDescent="0.45">
      <c r="A140" s="1" t="s">
        <v>206</v>
      </c>
      <c r="B140" s="2">
        <v>44826</v>
      </c>
      <c r="C140" s="1" t="s">
        <v>48</v>
      </c>
      <c r="D140" s="1" t="s">
        <v>91</v>
      </c>
      <c r="E140" s="1" t="s">
        <v>31</v>
      </c>
      <c r="F140" s="1" t="s">
        <v>32</v>
      </c>
      <c r="G140" s="1" t="s">
        <v>54</v>
      </c>
      <c r="H140" s="1" t="s">
        <v>51</v>
      </c>
      <c r="I140" s="1" t="s">
        <v>42</v>
      </c>
      <c r="J140" s="1">
        <v>4</v>
      </c>
      <c r="K140" s="3">
        <v>739.28</v>
      </c>
      <c r="L140" s="4">
        <v>7.0000000000000007E-2</v>
      </c>
      <c r="M140" s="3">
        <v>2750.14</v>
      </c>
      <c r="N140" s="3">
        <v>399.46</v>
      </c>
    </row>
    <row r="141" spans="1:14" x14ac:dyDescent="0.45">
      <c r="A141" s="1" t="s">
        <v>207</v>
      </c>
      <c r="B141" s="2">
        <v>44819</v>
      </c>
      <c r="C141" s="1" t="s">
        <v>14</v>
      </c>
      <c r="D141" s="1" t="s">
        <v>15</v>
      </c>
      <c r="E141" s="1" t="s">
        <v>65</v>
      </c>
      <c r="F141" s="1" t="s">
        <v>32</v>
      </c>
      <c r="G141" s="1" t="s">
        <v>25</v>
      </c>
      <c r="H141" s="1" t="s">
        <v>26</v>
      </c>
      <c r="I141" s="1" t="s">
        <v>20</v>
      </c>
      <c r="J141" s="1">
        <v>13</v>
      </c>
      <c r="K141" s="3">
        <v>101.48</v>
      </c>
      <c r="L141" s="4">
        <v>7.0000000000000007E-2</v>
      </c>
      <c r="M141" s="3">
        <v>1226.95</v>
      </c>
      <c r="N141" s="3">
        <v>349.62</v>
      </c>
    </row>
    <row r="142" spans="1:14" x14ac:dyDescent="0.45">
      <c r="A142" s="1" t="s">
        <v>208</v>
      </c>
      <c r="B142" s="2">
        <v>44831</v>
      </c>
      <c r="C142" s="1" t="s">
        <v>29</v>
      </c>
      <c r="D142" s="1" t="s">
        <v>37</v>
      </c>
      <c r="E142" s="1" t="s">
        <v>31</v>
      </c>
      <c r="F142" s="1" t="s">
        <v>17</v>
      </c>
      <c r="G142" s="1" t="s">
        <v>50</v>
      </c>
      <c r="H142" s="1" t="s">
        <v>51</v>
      </c>
      <c r="I142" s="1" t="s">
        <v>20</v>
      </c>
      <c r="J142" s="1">
        <v>6</v>
      </c>
      <c r="K142" s="3">
        <v>90.12</v>
      </c>
      <c r="L142" s="4">
        <v>0</v>
      </c>
      <c r="M142" s="3">
        <v>540.71</v>
      </c>
      <c r="N142" s="3">
        <v>69.42</v>
      </c>
    </row>
    <row r="143" spans="1:14" x14ac:dyDescent="0.45">
      <c r="A143" s="1" t="s">
        <v>209</v>
      </c>
      <c r="B143" s="2">
        <v>44847</v>
      </c>
      <c r="C143" s="1" t="s">
        <v>48</v>
      </c>
      <c r="D143" s="1" t="s">
        <v>78</v>
      </c>
      <c r="E143" s="1" t="s">
        <v>65</v>
      </c>
      <c r="F143" s="1" t="s">
        <v>17</v>
      </c>
      <c r="G143" s="1" t="s">
        <v>66</v>
      </c>
      <c r="H143" s="1" t="s">
        <v>26</v>
      </c>
      <c r="I143" s="1" t="s">
        <v>20</v>
      </c>
      <c r="J143" s="1">
        <v>5</v>
      </c>
      <c r="K143" s="3">
        <v>512.32000000000005</v>
      </c>
      <c r="L143" s="4">
        <v>7.0000000000000007E-2</v>
      </c>
      <c r="M143" s="3">
        <v>2382.31</v>
      </c>
      <c r="N143" s="3">
        <v>408.92</v>
      </c>
    </row>
    <row r="144" spans="1:14" x14ac:dyDescent="0.45">
      <c r="A144" s="1" t="s">
        <v>210</v>
      </c>
      <c r="B144" s="2">
        <v>44837</v>
      </c>
      <c r="C144" s="1" t="s">
        <v>29</v>
      </c>
      <c r="D144" s="1" t="s">
        <v>44</v>
      </c>
      <c r="E144" s="1" t="s">
        <v>31</v>
      </c>
      <c r="F144" s="1" t="s">
        <v>17</v>
      </c>
      <c r="G144" s="1" t="s">
        <v>54</v>
      </c>
      <c r="H144" s="1" t="s">
        <v>51</v>
      </c>
      <c r="I144" s="1" t="s">
        <v>39</v>
      </c>
      <c r="J144" s="1">
        <v>18</v>
      </c>
      <c r="K144" s="3">
        <v>36.07</v>
      </c>
      <c r="L144" s="4">
        <v>0.05</v>
      </c>
      <c r="M144" s="3">
        <v>616.73</v>
      </c>
      <c r="N144" s="3">
        <v>118.97</v>
      </c>
    </row>
    <row r="145" spans="1:14" x14ac:dyDescent="0.45">
      <c r="A145" s="1" t="s">
        <v>211</v>
      </c>
      <c r="B145" s="2">
        <v>44859</v>
      </c>
      <c r="C145" s="1" t="s">
        <v>29</v>
      </c>
      <c r="D145" s="1" t="s">
        <v>30</v>
      </c>
      <c r="E145" s="1" t="s">
        <v>56</v>
      </c>
      <c r="F145" s="1" t="s">
        <v>17</v>
      </c>
      <c r="G145" s="1" t="s">
        <v>46</v>
      </c>
      <c r="H145" s="1" t="s">
        <v>26</v>
      </c>
      <c r="I145" s="1" t="s">
        <v>27</v>
      </c>
      <c r="J145" s="1">
        <v>11</v>
      </c>
      <c r="K145" s="3">
        <v>51.3</v>
      </c>
      <c r="L145" s="4">
        <v>0.05</v>
      </c>
      <c r="M145" s="3">
        <v>536.09</v>
      </c>
      <c r="N145" s="3">
        <v>80.98</v>
      </c>
    </row>
    <row r="146" spans="1:14" x14ac:dyDescent="0.45">
      <c r="A146" s="1" t="s">
        <v>212</v>
      </c>
      <c r="B146" s="2">
        <v>44855</v>
      </c>
      <c r="C146" s="1" t="s">
        <v>29</v>
      </c>
      <c r="D146" s="1" t="s">
        <v>37</v>
      </c>
      <c r="E146" s="1" t="s">
        <v>41</v>
      </c>
      <c r="F146" s="1" t="s">
        <v>17</v>
      </c>
      <c r="G146" s="1" t="s">
        <v>54</v>
      </c>
      <c r="H146" s="1" t="s">
        <v>51</v>
      </c>
      <c r="I146" s="1" t="s">
        <v>35</v>
      </c>
      <c r="J146" s="1">
        <v>8</v>
      </c>
      <c r="K146" s="3">
        <v>102.89</v>
      </c>
      <c r="L146" s="4">
        <v>7.0000000000000007E-2</v>
      </c>
      <c r="M146" s="3">
        <v>765.49</v>
      </c>
      <c r="N146" s="3">
        <v>154.47</v>
      </c>
    </row>
    <row r="147" spans="1:14" x14ac:dyDescent="0.45">
      <c r="A147" s="1" t="s">
        <v>213</v>
      </c>
      <c r="B147" s="2">
        <v>44859</v>
      </c>
      <c r="C147" s="1" t="s">
        <v>14</v>
      </c>
      <c r="D147" s="1" t="s">
        <v>80</v>
      </c>
      <c r="E147" s="1" t="s">
        <v>65</v>
      </c>
      <c r="F147" s="1" t="s">
        <v>17</v>
      </c>
      <c r="G147" s="1" t="s">
        <v>25</v>
      </c>
      <c r="H147" s="1" t="s">
        <v>26</v>
      </c>
      <c r="I147" s="1" t="s">
        <v>27</v>
      </c>
      <c r="J147" s="1">
        <v>4</v>
      </c>
      <c r="K147" s="3">
        <v>384.75</v>
      </c>
      <c r="L147" s="4">
        <v>7.0000000000000007E-2</v>
      </c>
      <c r="M147" s="3">
        <v>1431.26</v>
      </c>
      <c r="N147" s="3">
        <v>278.76</v>
      </c>
    </row>
    <row r="148" spans="1:14" x14ac:dyDescent="0.45">
      <c r="A148" s="1" t="s">
        <v>214</v>
      </c>
      <c r="B148" s="2">
        <v>44855</v>
      </c>
      <c r="C148" s="1" t="s">
        <v>48</v>
      </c>
      <c r="D148" s="1" t="s">
        <v>78</v>
      </c>
      <c r="E148" s="1" t="s">
        <v>23</v>
      </c>
      <c r="F148" s="1" t="s">
        <v>24</v>
      </c>
      <c r="G148" s="1" t="s">
        <v>54</v>
      </c>
      <c r="H148" s="1" t="s">
        <v>51</v>
      </c>
      <c r="I148" s="1" t="s">
        <v>20</v>
      </c>
      <c r="J148" s="1">
        <v>3</v>
      </c>
      <c r="K148" s="3">
        <v>547.41</v>
      </c>
      <c r="L148" s="4">
        <v>0</v>
      </c>
      <c r="M148" s="3">
        <v>1642.23</v>
      </c>
      <c r="N148" s="3">
        <v>350.23</v>
      </c>
    </row>
    <row r="149" spans="1:14" x14ac:dyDescent="0.45">
      <c r="A149" s="1" t="s">
        <v>215</v>
      </c>
      <c r="B149" s="2">
        <v>44859</v>
      </c>
      <c r="C149" s="1" t="s">
        <v>14</v>
      </c>
      <c r="D149" s="1" t="s">
        <v>15</v>
      </c>
      <c r="E149" s="1" t="s">
        <v>23</v>
      </c>
      <c r="F149" s="1" t="s">
        <v>32</v>
      </c>
      <c r="G149" s="1" t="s">
        <v>66</v>
      </c>
      <c r="H149" s="1" t="s">
        <v>26</v>
      </c>
      <c r="I149" s="1" t="s">
        <v>27</v>
      </c>
      <c r="J149" s="1">
        <v>18</v>
      </c>
      <c r="K149" s="3">
        <v>102.61</v>
      </c>
      <c r="L149" s="4">
        <v>7.0000000000000007E-2</v>
      </c>
      <c r="M149" s="3">
        <v>1717.74</v>
      </c>
      <c r="N149" s="3">
        <v>462.38</v>
      </c>
    </row>
    <row r="150" spans="1:14" x14ac:dyDescent="0.45">
      <c r="A150" s="1" t="s">
        <v>216</v>
      </c>
      <c r="B150" s="2">
        <v>44840</v>
      </c>
      <c r="C150" s="1" t="s">
        <v>14</v>
      </c>
      <c r="D150" s="1" t="s">
        <v>15</v>
      </c>
      <c r="E150" s="1" t="s">
        <v>92</v>
      </c>
      <c r="F150" s="1" t="s">
        <v>32</v>
      </c>
      <c r="G150" s="1" t="s">
        <v>61</v>
      </c>
      <c r="H150" s="1" t="s">
        <v>51</v>
      </c>
      <c r="I150" s="1" t="s">
        <v>42</v>
      </c>
      <c r="J150" s="1">
        <v>2</v>
      </c>
      <c r="K150" s="3">
        <v>98.12</v>
      </c>
      <c r="L150" s="4">
        <v>0</v>
      </c>
      <c r="M150" s="3">
        <v>196.24</v>
      </c>
      <c r="N150" s="3">
        <v>-52.18</v>
      </c>
    </row>
    <row r="151" spans="1:14" x14ac:dyDescent="0.45">
      <c r="A151" s="1" t="s">
        <v>217</v>
      </c>
      <c r="B151" s="2">
        <v>44859</v>
      </c>
      <c r="C151" s="1" t="s">
        <v>48</v>
      </c>
      <c r="D151" s="1" t="s">
        <v>78</v>
      </c>
      <c r="E151" s="1" t="s">
        <v>56</v>
      </c>
      <c r="F151" s="1" t="s">
        <v>17</v>
      </c>
      <c r="G151" s="1" t="s">
        <v>46</v>
      </c>
      <c r="H151" s="1" t="s">
        <v>26</v>
      </c>
      <c r="I151" s="1" t="s">
        <v>35</v>
      </c>
      <c r="J151" s="1">
        <v>6</v>
      </c>
      <c r="K151" s="3">
        <v>483.54</v>
      </c>
      <c r="L151" s="4">
        <v>0</v>
      </c>
      <c r="M151" s="3">
        <v>2901.22</v>
      </c>
      <c r="N151" s="3">
        <v>664.31</v>
      </c>
    </row>
    <row r="152" spans="1:14" x14ac:dyDescent="0.45">
      <c r="A152" s="1" t="s">
        <v>218</v>
      </c>
      <c r="B152" s="2">
        <v>44852</v>
      </c>
      <c r="C152" s="1" t="s">
        <v>48</v>
      </c>
      <c r="D152" s="1" t="s">
        <v>49</v>
      </c>
      <c r="E152" s="1" t="s">
        <v>41</v>
      </c>
      <c r="F152" s="1" t="s">
        <v>24</v>
      </c>
      <c r="G152" s="1" t="s">
        <v>33</v>
      </c>
      <c r="H152" s="1" t="s">
        <v>34</v>
      </c>
      <c r="I152" s="1" t="s">
        <v>39</v>
      </c>
      <c r="J152" s="1">
        <v>1</v>
      </c>
      <c r="K152" s="3">
        <v>356.78</v>
      </c>
      <c r="L152" s="4">
        <v>0</v>
      </c>
      <c r="M152" s="3">
        <v>356.78</v>
      </c>
      <c r="N152" s="3">
        <v>-30.11</v>
      </c>
    </row>
    <row r="153" spans="1:14" x14ac:dyDescent="0.45">
      <c r="A153" s="1" t="s">
        <v>219</v>
      </c>
      <c r="B153" s="2">
        <v>44838</v>
      </c>
      <c r="C153" s="1" t="s">
        <v>29</v>
      </c>
      <c r="D153" s="1" t="s">
        <v>37</v>
      </c>
      <c r="E153" s="1" t="s">
        <v>73</v>
      </c>
      <c r="F153" s="1" t="s">
        <v>32</v>
      </c>
      <c r="G153" s="1" t="s">
        <v>61</v>
      </c>
      <c r="H153" s="1" t="s">
        <v>51</v>
      </c>
      <c r="I153" s="1" t="s">
        <v>35</v>
      </c>
      <c r="J153" s="1">
        <v>3</v>
      </c>
      <c r="K153" s="3">
        <v>91.43</v>
      </c>
      <c r="L153" s="4">
        <v>0</v>
      </c>
      <c r="M153" s="3">
        <v>274.27999999999997</v>
      </c>
      <c r="N153" s="3">
        <v>0.57999999999999996</v>
      </c>
    </row>
    <row r="154" spans="1:14" x14ac:dyDescent="0.45">
      <c r="A154" s="1" t="s">
        <v>220</v>
      </c>
      <c r="B154" s="2">
        <v>44859</v>
      </c>
      <c r="C154" s="1" t="s">
        <v>48</v>
      </c>
      <c r="D154" s="1" t="s">
        <v>91</v>
      </c>
      <c r="E154" s="1" t="s">
        <v>63</v>
      </c>
      <c r="F154" s="1" t="s">
        <v>32</v>
      </c>
      <c r="G154" s="1" t="s">
        <v>18</v>
      </c>
      <c r="H154" s="1" t="s">
        <v>19</v>
      </c>
      <c r="I154" s="1" t="s">
        <v>39</v>
      </c>
      <c r="J154" s="1">
        <v>7</v>
      </c>
      <c r="K154" s="3">
        <v>597.20000000000005</v>
      </c>
      <c r="L154" s="4">
        <v>0.05</v>
      </c>
      <c r="M154" s="3">
        <v>3971.41</v>
      </c>
      <c r="N154" s="3">
        <v>710.12</v>
      </c>
    </row>
    <row r="155" spans="1:14" x14ac:dyDescent="0.45">
      <c r="A155" s="1" t="s">
        <v>221</v>
      </c>
      <c r="B155" s="2">
        <v>44839</v>
      </c>
      <c r="C155" s="1" t="s">
        <v>29</v>
      </c>
      <c r="D155" s="1" t="s">
        <v>37</v>
      </c>
      <c r="E155" s="1" t="s">
        <v>41</v>
      </c>
      <c r="F155" s="1" t="s">
        <v>24</v>
      </c>
      <c r="G155" s="1" t="s">
        <v>18</v>
      </c>
      <c r="H155" s="1" t="s">
        <v>19</v>
      </c>
      <c r="I155" s="1" t="s">
        <v>39</v>
      </c>
      <c r="J155" s="1">
        <v>4</v>
      </c>
      <c r="K155" s="3">
        <v>82.52</v>
      </c>
      <c r="L155" s="4">
        <v>0</v>
      </c>
      <c r="M155" s="3">
        <v>330.09</v>
      </c>
      <c r="N155" s="3">
        <v>46.26</v>
      </c>
    </row>
    <row r="156" spans="1:14" x14ac:dyDescent="0.45">
      <c r="A156" s="1" t="s">
        <v>222</v>
      </c>
      <c r="B156" s="2">
        <v>44853</v>
      </c>
      <c r="C156" s="1" t="s">
        <v>29</v>
      </c>
      <c r="D156" s="1" t="s">
        <v>37</v>
      </c>
      <c r="E156" s="1" t="s">
        <v>65</v>
      </c>
      <c r="F156" s="1" t="s">
        <v>32</v>
      </c>
      <c r="G156" s="1" t="s">
        <v>18</v>
      </c>
      <c r="H156" s="1" t="s">
        <v>19</v>
      </c>
      <c r="I156" s="1" t="s">
        <v>67</v>
      </c>
      <c r="J156" s="1">
        <v>15</v>
      </c>
      <c r="K156" s="3">
        <v>79.47</v>
      </c>
      <c r="L156" s="4">
        <v>0.05</v>
      </c>
      <c r="M156" s="3">
        <v>1132.52</v>
      </c>
      <c r="N156" s="3">
        <v>216.24</v>
      </c>
    </row>
    <row r="157" spans="1:14" x14ac:dyDescent="0.45">
      <c r="A157" s="1" t="s">
        <v>223</v>
      </c>
      <c r="B157" s="2">
        <v>44841</v>
      </c>
      <c r="C157" s="1" t="s">
        <v>48</v>
      </c>
      <c r="D157" s="1" t="s">
        <v>91</v>
      </c>
      <c r="E157" s="1" t="s">
        <v>38</v>
      </c>
      <c r="F157" s="1" t="s">
        <v>17</v>
      </c>
      <c r="G157" s="1" t="s">
        <v>18</v>
      </c>
      <c r="H157" s="1" t="s">
        <v>19</v>
      </c>
      <c r="I157" s="1" t="s">
        <v>42</v>
      </c>
      <c r="J157" s="1">
        <v>7</v>
      </c>
      <c r="K157" s="3">
        <v>566.77</v>
      </c>
      <c r="L157" s="4">
        <v>0.1</v>
      </c>
      <c r="M157" s="3">
        <v>3570.68</v>
      </c>
      <c r="N157" s="3">
        <v>655.07000000000005</v>
      </c>
    </row>
    <row r="158" spans="1:14" x14ac:dyDescent="0.45">
      <c r="A158" s="1" t="s">
        <v>224</v>
      </c>
      <c r="B158" s="2">
        <v>44887</v>
      </c>
      <c r="C158" s="1" t="s">
        <v>14</v>
      </c>
      <c r="D158" s="1" t="s">
        <v>22</v>
      </c>
      <c r="E158" s="1" t="s">
        <v>16</v>
      </c>
      <c r="F158" s="1" t="s">
        <v>24</v>
      </c>
      <c r="G158" s="1" t="s">
        <v>66</v>
      </c>
      <c r="H158" s="1" t="s">
        <v>26</v>
      </c>
      <c r="I158" s="1" t="s">
        <v>35</v>
      </c>
      <c r="J158" s="1">
        <v>6</v>
      </c>
      <c r="K158" s="3">
        <v>1582.8</v>
      </c>
      <c r="L158" s="4">
        <v>7.0000000000000007E-2</v>
      </c>
      <c r="M158" s="3">
        <v>8832.0499999999993</v>
      </c>
      <c r="N158" s="3">
        <v>1219.58</v>
      </c>
    </row>
    <row r="159" spans="1:14" x14ac:dyDescent="0.45">
      <c r="A159" s="1" t="s">
        <v>225</v>
      </c>
      <c r="B159" s="2">
        <v>44869</v>
      </c>
      <c r="C159" s="1" t="s">
        <v>29</v>
      </c>
      <c r="D159" s="1" t="s">
        <v>44</v>
      </c>
      <c r="E159" s="1" t="s">
        <v>41</v>
      </c>
      <c r="F159" s="1" t="s">
        <v>24</v>
      </c>
      <c r="G159" s="1" t="s">
        <v>57</v>
      </c>
      <c r="H159" s="1" t="s">
        <v>51</v>
      </c>
      <c r="I159" s="1" t="s">
        <v>20</v>
      </c>
      <c r="J159" s="1">
        <v>18</v>
      </c>
      <c r="K159" s="3">
        <v>31.12</v>
      </c>
      <c r="L159" s="4">
        <v>0.03</v>
      </c>
      <c r="M159" s="3">
        <v>543.30999999999995</v>
      </c>
      <c r="N159" s="3">
        <v>90.78</v>
      </c>
    </row>
    <row r="160" spans="1:14" x14ac:dyDescent="0.45">
      <c r="A160" s="1" t="s">
        <v>226</v>
      </c>
      <c r="B160" s="2">
        <v>44895</v>
      </c>
      <c r="C160" s="1" t="s">
        <v>14</v>
      </c>
      <c r="D160" s="1" t="s">
        <v>15</v>
      </c>
      <c r="E160" s="1" t="s">
        <v>69</v>
      </c>
      <c r="F160" s="1" t="s">
        <v>24</v>
      </c>
      <c r="G160" s="1" t="s">
        <v>33</v>
      </c>
      <c r="H160" s="1" t="s">
        <v>34</v>
      </c>
      <c r="I160" s="1" t="s">
        <v>39</v>
      </c>
      <c r="J160" s="1">
        <v>5</v>
      </c>
      <c r="K160" s="3">
        <v>111.67</v>
      </c>
      <c r="L160" s="4">
        <v>0.03</v>
      </c>
      <c r="M160" s="3">
        <v>541.61</v>
      </c>
      <c r="N160" s="3">
        <v>125.46</v>
      </c>
    </row>
    <row r="161" spans="1:14" x14ac:dyDescent="0.45">
      <c r="A161" s="1" t="s">
        <v>227</v>
      </c>
      <c r="B161" s="2">
        <v>44881</v>
      </c>
      <c r="C161" s="1" t="s">
        <v>29</v>
      </c>
      <c r="D161" s="1" t="s">
        <v>37</v>
      </c>
      <c r="E161" s="1" t="s">
        <v>95</v>
      </c>
      <c r="F161" s="1" t="s">
        <v>17</v>
      </c>
      <c r="G161" s="1" t="s">
        <v>57</v>
      </c>
      <c r="H161" s="1" t="s">
        <v>51</v>
      </c>
      <c r="I161" s="1" t="s">
        <v>20</v>
      </c>
      <c r="J161" s="1">
        <v>4</v>
      </c>
      <c r="K161" s="3">
        <v>84.35</v>
      </c>
      <c r="L161" s="4">
        <v>0.1</v>
      </c>
      <c r="M161" s="3">
        <v>303.66000000000003</v>
      </c>
      <c r="N161" s="3">
        <v>49.4</v>
      </c>
    </row>
    <row r="162" spans="1:14" x14ac:dyDescent="0.45">
      <c r="A162" s="1" t="s">
        <v>228</v>
      </c>
      <c r="B162" s="2">
        <v>44873</v>
      </c>
      <c r="C162" s="1" t="s">
        <v>48</v>
      </c>
      <c r="D162" s="1" t="s">
        <v>91</v>
      </c>
      <c r="E162" s="1" t="s">
        <v>73</v>
      </c>
      <c r="F162" s="1" t="s">
        <v>24</v>
      </c>
      <c r="G162" s="1" t="s">
        <v>66</v>
      </c>
      <c r="H162" s="1" t="s">
        <v>26</v>
      </c>
      <c r="I162" s="1" t="s">
        <v>35</v>
      </c>
      <c r="J162" s="1">
        <v>5</v>
      </c>
      <c r="K162" s="3">
        <v>701.91</v>
      </c>
      <c r="L162" s="4">
        <v>0.1</v>
      </c>
      <c r="M162" s="3">
        <v>3158.61</v>
      </c>
      <c r="N162" s="3">
        <v>601.55999999999995</v>
      </c>
    </row>
    <row r="163" spans="1:14" x14ac:dyDescent="0.45">
      <c r="A163" s="1" t="s">
        <v>229</v>
      </c>
      <c r="B163" s="2">
        <v>44887</v>
      </c>
      <c r="C163" s="1" t="s">
        <v>29</v>
      </c>
      <c r="D163" s="1" t="s">
        <v>37</v>
      </c>
      <c r="E163" s="1" t="s">
        <v>63</v>
      </c>
      <c r="F163" s="1" t="s">
        <v>17</v>
      </c>
      <c r="G163" s="1" t="s">
        <v>25</v>
      </c>
      <c r="H163" s="1" t="s">
        <v>26</v>
      </c>
      <c r="I163" s="1" t="s">
        <v>20</v>
      </c>
      <c r="J163" s="1">
        <v>9</v>
      </c>
      <c r="K163" s="3">
        <v>95.77</v>
      </c>
      <c r="L163" s="4">
        <v>0</v>
      </c>
      <c r="M163" s="3">
        <v>861.95</v>
      </c>
      <c r="N163" s="3">
        <v>135.91</v>
      </c>
    </row>
    <row r="164" spans="1:14" x14ac:dyDescent="0.45">
      <c r="A164" s="1" t="s">
        <v>230</v>
      </c>
      <c r="B164" s="2">
        <v>44886</v>
      </c>
      <c r="C164" s="1" t="s">
        <v>48</v>
      </c>
      <c r="D164" s="1" t="s">
        <v>49</v>
      </c>
      <c r="E164" s="1" t="s">
        <v>41</v>
      </c>
      <c r="F164" s="1" t="s">
        <v>17</v>
      </c>
      <c r="G164" s="1" t="s">
        <v>74</v>
      </c>
      <c r="H164" s="1" t="s">
        <v>26</v>
      </c>
      <c r="I164" s="1" t="s">
        <v>35</v>
      </c>
      <c r="J164" s="1">
        <v>7</v>
      </c>
      <c r="K164" s="3">
        <v>354.77</v>
      </c>
      <c r="L164" s="4">
        <v>0.1</v>
      </c>
      <c r="M164" s="3">
        <v>2235.08</v>
      </c>
      <c r="N164" s="3">
        <v>471.06</v>
      </c>
    </row>
    <row r="165" spans="1:14" x14ac:dyDescent="0.45">
      <c r="A165" s="1" t="s">
        <v>231</v>
      </c>
      <c r="B165" s="2">
        <v>44893</v>
      </c>
      <c r="C165" s="1" t="s">
        <v>48</v>
      </c>
      <c r="D165" s="1" t="s">
        <v>49</v>
      </c>
      <c r="E165" s="1" t="s">
        <v>53</v>
      </c>
      <c r="F165" s="1" t="s">
        <v>24</v>
      </c>
      <c r="G165" s="1" t="s">
        <v>33</v>
      </c>
      <c r="H165" s="1" t="s">
        <v>34</v>
      </c>
      <c r="I165" s="1" t="s">
        <v>27</v>
      </c>
      <c r="J165" s="1">
        <v>8</v>
      </c>
      <c r="K165" s="3">
        <v>392.14</v>
      </c>
      <c r="L165" s="4">
        <v>7.0000000000000007E-2</v>
      </c>
      <c r="M165" s="3">
        <v>2917.54</v>
      </c>
      <c r="N165" s="3">
        <v>548</v>
      </c>
    </row>
    <row r="166" spans="1:14" x14ac:dyDescent="0.45">
      <c r="A166" s="1" t="s">
        <v>232</v>
      </c>
      <c r="B166" s="2">
        <v>44881</v>
      </c>
      <c r="C166" s="1" t="s">
        <v>48</v>
      </c>
      <c r="D166" s="1" t="s">
        <v>78</v>
      </c>
      <c r="E166" s="1" t="s">
        <v>56</v>
      </c>
      <c r="F166" s="1" t="s">
        <v>32</v>
      </c>
      <c r="G166" s="1" t="s">
        <v>33</v>
      </c>
      <c r="H166" s="1" t="s">
        <v>34</v>
      </c>
      <c r="I166" s="1" t="s">
        <v>67</v>
      </c>
      <c r="J166" s="1">
        <v>1</v>
      </c>
      <c r="K166" s="3">
        <v>611.05999999999995</v>
      </c>
      <c r="L166" s="4">
        <v>7.0000000000000007E-2</v>
      </c>
      <c r="M166" s="3">
        <v>568.28</v>
      </c>
      <c r="N166" s="3">
        <v>71.86</v>
      </c>
    </row>
    <row r="167" spans="1:14" x14ac:dyDescent="0.45">
      <c r="A167" s="1" t="s">
        <v>233</v>
      </c>
      <c r="B167" s="2">
        <v>44895</v>
      </c>
      <c r="C167" s="1" t="s">
        <v>48</v>
      </c>
      <c r="D167" s="1" t="s">
        <v>49</v>
      </c>
      <c r="E167" s="1" t="s">
        <v>23</v>
      </c>
      <c r="F167" s="1" t="s">
        <v>32</v>
      </c>
      <c r="G167" s="1" t="s">
        <v>46</v>
      </c>
      <c r="H167" s="1" t="s">
        <v>26</v>
      </c>
      <c r="I167" s="1" t="s">
        <v>27</v>
      </c>
      <c r="J167" s="1">
        <v>5</v>
      </c>
      <c r="K167" s="3">
        <v>321.14</v>
      </c>
      <c r="L167" s="4">
        <v>7.0000000000000007E-2</v>
      </c>
      <c r="M167" s="3">
        <v>1493.3</v>
      </c>
      <c r="N167" s="3">
        <v>238.67</v>
      </c>
    </row>
    <row r="168" spans="1:14" x14ac:dyDescent="0.45">
      <c r="A168" s="1" t="s">
        <v>234</v>
      </c>
      <c r="B168" s="2">
        <v>44894</v>
      </c>
      <c r="C168" s="1" t="s">
        <v>48</v>
      </c>
      <c r="D168" s="1" t="s">
        <v>49</v>
      </c>
      <c r="E168" s="1" t="s">
        <v>45</v>
      </c>
      <c r="F168" s="1" t="s">
        <v>24</v>
      </c>
      <c r="G168" s="1" t="s">
        <v>50</v>
      </c>
      <c r="H168" s="1" t="s">
        <v>51</v>
      </c>
      <c r="I168" s="1" t="s">
        <v>67</v>
      </c>
      <c r="J168" s="1">
        <v>3</v>
      </c>
      <c r="K168" s="3">
        <v>333.17</v>
      </c>
      <c r="L168" s="4">
        <v>7.0000000000000007E-2</v>
      </c>
      <c r="M168" s="3">
        <v>929.54</v>
      </c>
      <c r="N168" s="3">
        <v>151.6</v>
      </c>
    </row>
    <row r="169" spans="1:14" x14ac:dyDescent="0.45">
      <c r="A169" s="1" t="s">
        <v>235</v>
      </c>
      <c r="B169" s="2">
        <v>44888</v>
      </c>
      <c r="C169" s="1" t="s">
        <v>14</v>
      </c>
      <c r="D169" s="1" t="s">
        <v>22</v>
      </c>
      <c r="E169" s="1" t="s">
        <v>38</v>
      </c>
      <c r="F169" s="1" t="s">
        <v>24</v>
      </c>
      <c r="G169" s="1" t="s">
        <v>66</v>
      </c>
      <c r="H169" s="1" t="s">
        <v>26</v>
      </c>
      <c r="I169" s="1" t="s">
        <v>67</v>
      </c>
      <c r="J169" s="1">
        <v>5</v>
      </c>
      <c r="K169" s="3">
        <v>1642.64</v>
      </c>
      <c r="L169" s="4">
        <v>7.0000000000000007E-2</v>
      </c>
      <c r="M169" s="3">
        <v>7638.25</v>
      </c>
      <c r="N169" s="3">
        <v>1257.25</v>
      </c>
    </row>
    <row r="170" spans="1:14" x14ac:dyDescent="0.45">
      <c r="A170" s="1" t="s">
        <v>236</v>
      </c>
      <c r="B170" s="2">
        <v>44886</v>
      </c>
      <c r="C170" s="1" t="s">
        <v>48</v>
      </c>
      <c r="D170" s="1" t="s">
        <v>78</v>
      </c>
      <c r="E170" s="1" t="s">
        <v>65</v>
      </c>
      <c r="F170" s="1" t="s">
        <v>32</v>
      </c>
      <c r="G170" s="1" t="s">
        <v>18</v>
      </c>
      <c r="H170" s="1" t="s">
        <v>19</v>
      </c>
      <c r="I170" s="1" t="s">
        <v>20</v>
      </c>
      <c r="J170" s="1">
        <v>7</v>
      </c>
      <c r="K170" s="3">
        <v>498.08</v>
      </c>
      <c r="L170" s="4">
        <v>0</v>
      </c>
      <c r="M170" s="3">
        <v>3486.59</v>
      </c>
      <c r="N170" s="3">
        <v>835.36</v>
      </c>
    </row>
    <row r="171" spans="1:14" x14ac:dyDescent="0.45">
      <c r="A171" s="1" t="s">
        <v>237</v>
      </c>
      <c r="B171" s="2">
        <v>44883</v>
      </c>
      <c r="C171" s="1" t="s">
        <v>29</v>
      </c>
      <c r="D171" s="1" t="s">
        <v>44</v>
      </c>
      <c r="E171" s="1" t="s">
        <v>53</v>
      </c>
      <c r="F171" s="1" t="s">
        <v>24</v>
      </c>
      <c r="G171" s="1" t="s">
        <v>25</v>
      </c>
      <c r="H171" s="1" t="s">
        <v>26</v>
      </c>
      <c r="I171" s="1" t="s">
        <v>20</v>
      </c>
      <c r="J171" s="1">
        <v>12</v>
      </c>
      <c r="K171" s="3">
        <v>36.090000000000003</v>
      </c>
      <c r="L171" s="4">
        <v>0.03</v>
      </c>
      <c r="M171" s="3">
        <v>420.13</v>
      </c>
      <c r="N171" s="3">
        <v>37.74</v>
      </c>
    </row>
    <row r="172" spans="1:14" x14ac:dyDescent="0.45">
      <c r="A172" s="1" t="s">
        <v>238</v>
      </c>
      <c r="B172" s="2">
        <v>44867</v>
      </c>
      <c r="C172" s="1" t="s">
        <v>14</v>
      </c>
      <c r="D172" s="1" t="s">
        <v>80</v>
      </c>
      <c r="E172" s="1" t="s">
        <v>73</v>
      </c>
      <c r="F172" s="1" t="s">
        <v>17</v>
      </c>
      <c r="G172" s="1" t="s">
        <v>50</v>
      </c>
      <c r="H172" s="1" t="s">
        <v>51</v>
      </c>
      <c r="I172" s="1" t="s">
        <v>35</v>
      </c>
      <c r="J172" s="1">
        <v>4</v>
      </c>
      <c r="K172" s="3">
        <v>407.36</v>
      </c>
      <c r="L172" s="4">
        <v>0.03</v>
      </c>
      <c r="M172" s="3">
        <v>1580.57</v>
      </c>
      <c r="N172" s="3">
        <v>307.26</v>
      </c>
    </row>
    <row r="173" spans="1:14" x14ac:dyDescent="0.45">
      <c r="A173" s="1" t="s">
        <v>239</v>
      </c>
      <c r="B173" s="2">
        <v>44888</v>
      </c>
      <c r="C173" s="1" t="s">
        <v>29</v>
      </c>
      <c r="D173" s="1" t="s">
        <v>44</v>
      </c>
      <c r="E173" s="1" t="s">
        <v>31</v>
      </c>
      <c r="F173" s="1" t="s">
        <v>17</v>
      </c>
      <c r="G173" s="1" t="s">
        <v>74</v>
      </c>
      <c r="H173" s="1" t="s">
        <v>26</v>
      </c>
      <c r="I173" s="1" t="s">
        <v>20</v>
      </c>
      <c r="J173" s="1">
        <v>12</v>
      </c>
      <c r="K173" s="3">
        <v>33.96</v>
      </c>
      <c r="L173" s="4">
        <v>0.1</v>
      </c>
      <c r="M173" s="3">
        <v>366.79</v>
      </c>
      <c r="N173" s="3">
        <v>17.190000000000001</v>
      </c>
    </row>
    <row r="174" spans="1:14" x14ac:dyDescent="0.45">
      <c r="A174" s="1" t="s">
        <v>240</v>
      </c>
      <c r="B174" s="2">
        <v>44894</v>
      </c>
      <c r="C174" s="1" t="s">
        <v>48</v>
      </c>
      <c r="D174" s="1" t="s">
        <v>91</v>
      </c>
      <c r="E174" s="1" t="s">
        <v>65</v>
      </c>
      <c r="F174" s="1" t="s">
        <v>32</v>
      </c>
      <c r="G174" s="1" t="s">
        <v>57</v>
      </c>
      <c r="H174" s="1" t="s">
        <v>51</v>
      </c>
      <c r="I174" s="1" t="s">
        <v>27</v>
      </c>
      <c r="J174" s="1">
        <v>2</v>
      </c>
      <c r="K174" s="3">
        <v>625.08000000000004</v>
      </c>
      <c r="L174" s="4">
        <v>7.0000000000000007E-2</v>
      </c>
      <c r="M174" s="3">
        <v>1162.6600000000001</v>
      </c>
      <c r="N174" s="3">
        <v>181.19</v>
      </c>
    </row>
    <row r="175" spans="1:14" x14ac:dyDescent="0.45">
      <c r="A175" s="1" t="s">
        <v>241</v>
      </c>
      <c r="B175" s="2">
        <v>44879</v>
      </c>
      <c r="C175" s="1" t="s">
        <v>29</v>
      </c>
      <c r="D175" s="1" t="s">
        <v>30</v>
      </c>
      <c r="E175" s="1" t="s">
        <v>65</v>
      </c>
      <c r="F175" s="1" t="s">
        <v>32</v>
      </c>
      <c r="G175" s="1" t="s">
        <v>54</v>
      </c>
      <c r="H175" s="1" t="s">
        <v>51</v>
      </c>
      <c r="I175" s="1" t="s">
        <v>67</v>
      </c>
      <c r="J175" s="1">
        <v>17</v>
      </c>
      <c r="K175" s="3">
        <v>61.41</v>
      </c>
      <c r="L175" s="4">
        <v>0</v>
      </c>
      <c r="M175" s="3">
        <v>1043.8900000000001</v>
      </c>
      <c r="N175" s="3">
        <v>173.31</v>
      </c>
    </row>
    <row r="176" spans="1:14" x14ac:dyDescent="0.45">
      <c r="A176" s="1" t="s">
        <v>242</v>
      </c>
      <c r="B176" s="2">
        <v>44922</v>
      </c>
      <c r="C176" s="1" t="s">
        <v>29</v>
      </c>
      <c r="D176" s="1" t="s">
        <v>44</v>
      </c>
      <c r="E176" s="1" t="s">
        <v>60</v>
      </c>
      <c r="F176" s="1" t="s">
        <v>17</v>
      </c>
      <c r="G176" s="1" t="s">
        <v>54</v>
      </c>
      <c r="H176" s="1" t="s">
        <v>51</v>
      </c>
      <c r="I176" s="1" t="s">
        <v>67</v>
      </c>
      <c r="J176" s="1">
        <v>8</v>
      </c>
      <c r="K176" s="3">
        <v>39.94</v>
      </c>
      <c r="L176" s="4">
        <v>0.03</v>
      </c>
      <c r="M176" s="3">
        <v>309.89999999999998</v>
      </c>
      <c r="N176" s="3">
        <v>13.32</v>
      </c>
    </row>
    <row r="177" spans="1:14" x14ac:dyDescent="0.45">
      <c r="A177" s="1" t="s">
        <v>243</v>
      </c>
      <c r="B177" s="2">
        <v>44902</v>
      </c>
      <c r="C177" s="1" t="s">
        <v>29</v>
      </c>
      <c r="D177" s="1" t="s">
        <v>37</v>
      </c>
      <c r="E177" s="1" t="s">
        <v>63</v>
      </c>
      <c r="F177" s="1" t="s">
        <v>17</v>
      </c>
      <c r="G177" s="1" t="s">
        <v>74</v>
      </c>
      <c r="H177" s="1" t="s">
        <v>26</v>
      </c>
      <c r="I177" s="1" t="s">
        <v>27</v>
      </c>
      <c r="J177" s="1">
        <v>14</v>
      </c>
      <c r="K177" s="3">
        <v>87.16</v>
      </c>
      <c r="L177" s="4">
        <v>0.03</v>
      </c>
      <c r="M177" s="3">
        <v>1183.6199999999999</v>
      </c>
      <c r="N177" s="3">
        <v>232.36</v>
      </c>
    </row>
    <row r="178" spans="1:14" x14ac:dyDescent="0.45">
      <c r="A178" s="1" t="s">
        <v>244</v>
      </c>
      <c r="B178" s="2">
        <v>44916</v>
      </c>
      <c r="C178" s="1" t="s">
        <v>14</v>
      </c>
      <c r="D178" s="1" t="s">
        <v>15</v>
      </c>
      <c r="E178" s="1" t="s">
        <v>60</v>
      </c>
      <c r="F178" s="1" t="s">
        <v>24</v>
      </c>
      <c r="G178" s="1" t="s">
        <v>50</v>
      </c>
      <c r="H178" s="1" t="s">
        <v>51</v>
      </c>
      <c r="I178" s="1" t="s">
        <v>27</v>
      </c>
      <c r="J178" s="1">
        <v>3</v>
      </c>
      <c r="K178" s="3">
        <v>99.02</v>
      </c>
      <c r="L178" s="4">
        <v>0.1</v>
      </c>
      <c r="M178" s="3">
        <v>267.36</v>
      </c>
      <c r="N178" s="3">
        <v>-1.95</v>
      </c>
    </row>
    <row r="179" spans="1:14" x14ac:dyDescent="0.45">
      <c r="A179" s="1" t="s">
        <v>245</v>
      </c>
      <c r="B179" s="2">
        <v>44910</v>
      </c>
      <c r="C179" s="1" t="s">
        <v>14</v>
      </c>
      <c r="D179" s="1" t="s">
        <v>15</v>
      </c>
      <c r="E179" s="1" t="s">
        <v>56</v>
      </c>
      <c r="F179" s="1" t="s">
        <v>32</v>
      </c>
      <c r="G179" s="1" t="s">
        <v>50</v>
      </c>
      <c r="H179" s="1" t="s">
        <v>51</v>
      </c>
      <c r="I179" s="1" t="s">
        <v>67</v>
      </c>
      <c r="J179" s="1">
        <v>12</v>
      </c>
      <c r="K179" s="3">
        <v>100.84</v>
      </c>
      <c r="L179" s="4">
        <v>7.0000000000000007E-2</v>
      </c>
      <c r="M179" s="3">
        <v>1125.33</v>
      </c>
      <c r="N179" s="3">
        <v>308.05</v>
      </c>
    </row>
    <row r="180" spans="1:14" x14ac:dyDescent="0.45">
      <c r="A180" s="1" t="s">
        <v>246</v>
      </c>
      <c r="B180" s="2">
        <v>44915</v>
      </c>
      <c r="C180" s="1" t="s">
        <v>48</v>
      </c>
      <c r="D180" s="1" t="s">
        <v>78</v>
      </c>
      <c r="E180" s="1" t="s">
        <v>69</v>
      </c>
      <c r="F180" s="1" t="s">
        <v>24</v>
      </c>
      <c r="G180" s="1" t="s">
        <v>50</v>
      </c>
      <c r="H180" s="1" t="s">
        <v>51</v>
      </c>
      <c r="I180" s="1" t="s">
        <v>67</v>
      </c>
      <c r="J180" s="1">
        <v>5</v>
      </c>
      <c r="K180" s="3">
        <v>533.28</v>
      </c>
      <c r="L180" s="4">
        <v>0</v>
      </c>
      <c r="M180" s="3">
        <v>2666.41</v>
      </c>
      <c r="N180" s="3">
        <v>492.53</v>
      </c>
    </row>
    <row r="181" spans="1:14" x14ac:dyDescent="0.45">
      <c r="A181" s="1" t="s">
        <v>247</v>
      </c>
      <c r="B181" s="2">
        <v>44924</v>
      </c>
      <c r="C181" s="1" t="s">
        <v>48</v>
      </c>
      <c r="D181" s="1" t="s">
        <v>91</v>
      </c>
      <c r="E181" s="1" t="s">
        <v>104</v>
      </c>
      <c r="F181" s="1" t="s">
        <v>32</v>
      </c>
      <c r="G181" s="1" t="s">
        <v>54</v>
      </c>
      <c r="H181" s="1" t="s">
        <v>51</v>
      </c>
      <c r="I181" s="1" t="s">
        <v>35</v>
      </c>
      <c r="J181" s="1">
        <v>4</v>
      </c>
      <c r="K181" s="3">
        <v>779.28</v>
      </c>
      <c r="L181" s="4">
        <v>7.0000000000000007E-2</v>
      </c>
      <c r="M181" s="3">
        <v>2898.93</v>
      </c>
      <c r="N181" s="3">
        <v>503.89</v>
      </c>
    </row>
    <row r="182" spans="1:14" x14ac:dyDescent="0.45">
      <c r="A182" s="1" t="s">
        <v>248</v>
      </c>
      <c r="B182" s="2">
        <v>44904</v>
      </c>
      <c r="C182" s="1" t="s">
        <v>29</v>
      </c>
      <c r="D182" s="1" t="s">
        <v>30</v>
      </c>
      <c r="E182" s="1" t="s">
        <v>38</v>
      </c>
      <c r="F182" s="1" t="s">
        <v>24</v>
      </c>
      <c r="G182" s="1" t="s">
        <v>25</v>
      </c>
      <c r="H182" s="1" t="s">
        <v>26</v>
      </c>
      <c r="I182" s="1" t="s">
        <v>42</v>
      </c>
      <c r="J182" s="1">
        <v>5</v>
      </c>
      <c r="K182" s="3">
        <v>54.66</v>
      </c>
      <c r="L182" s="4">
        <v>0.05</v>
      </c>
      <c r="M182" s="3">
        <v>259.66000000000003</v>
      </c>
      <c r="N182" s="3">
        <v>20.92</v>
      </c>
    </row>
    <row r="183" spans="1:14" x14ac:dyDescent="0.45">
      <c r="A183" s="1" t="s">
        <v>249</v>
      </c>
      <c r="B183" s="2">
        <v>44917</v>
      </c>
      <c r="C183" s="1" t="s">
        <v>29</v>
      </c>
      <c r="D183" s="1" t="s">
        <v>37</v>
      </c>
      <c r="E183" s="1" t="s">
        <v>69</v>
      </c>
      <c r="F183" s="1" t="s">
        <v>24</v>
      </c>
      <c r="G183" s="1" t="s">
        <v>74</v>
      </c>
      <c r="H183" s="1" t="s">
        <v>26</v>
      </c>
      <c r="I183" s="1" t="s">
        <v>42</v>
      </c>
      <c r="J183" s="1">
        <v>3</v>
      </c>
      <c r="K183" s="3">
        <v>91.25</v>
      </c>
      <c r="L183" s="4">
        <v>7.0000000000000007E-2</v>
      </c>
      <c r="M183" s="3">
        <v>254.58</v>
      </c>
      <c r="N183" s="3">
        <v>21.78</v>
      </c>
    </row>
    <row r="184" spans="1:14" x14ac:dyDescent="0.45">
      <c r="A184" s="1" t="s">
        <v>250</v>
      </c>
      <c r="B184" s="2">
        <v>44925</v>
      </c>
      <c r="C184" s="1" t="s">
        <v>48</v>
      </c>
      <c r="D184" s="1" t="s">
        <v>91</v>
      </c>
      <c r="E184" s="1" t="s">
        <v>45</v>
      </c>
      <c r="F184" s="1" t="s">
        <v>32</v>
      </c>
      <c r="G184" s="1" t="s">
        <v>46</v>
      </c>
      <c r="H184" s="1" t="s">
        <v>26</v>
      </c>
      <c r="I184" s="1" t="s">
        <v>67</v>
      </c>
      <c r="J184" s="1">
        <v>6</v>
      </c>
      <c r="K184" s="3">
        <v>625.51</v>
      </c>
      <c r="L184" s="4">
        <v>0.1</v>
      </c>
      <c r="M184" s="3">
        <v>3377.74</v>
      </c>
      <c r="N184" s="3">
        <v>667.21</v>
      </c>
    </row>
    <row r="185" spans="1:14" x14ac:dyDescent="0.45">
      <c r="A185" s="1" t="s">
        <v>251</v>
      </c>
      <c r="B185" s="2">
        <v>44909</v>
      </c>
      <c r="C185" s="1" t="s">
        <v>48</v>
      </c>
      <c r="D185" s="1" t="s">
        <v>91</v>
      </c>
      <c r="E185" s="1" t="s">
        <v>69</v>
      </c>
      <c r="F185" s="1" t="s">
        <v>17</v>
      </c>
      <c r="G185" s="1" t="s">
        <v>74</v>
      </c>
      <c r="H185" s="1" t="s">
        <v>26</v>
      </c>
      <c r="I185" s="1" t="s">
        <v>20</v>
      </c>
      <c r="J185" s="1">
        <v>5</v>
      </c>
      <c r="K185" s="3">
        <v>620.07000000000005</v>
      </c>
      <c r="L185" s="4">
        <v>0</v>
      </c>
      <c r="M185" s="3">
        <v>3100.33</v>
      </c>
      <c r="N185" s="3">
        <v>620.79999999999995</v>
      </c>
    </row>
    <row r="186" spans="1:14" x14ac:dyDescent="0.45">
      <c r="A186" s="1" t="s">
        <v>252</v>
      </c>
      <c r="B186" s="2">
        <v>44914</v>
      </c>
      <c r="C186" s="1" t="s">
        <v>48</v>
      </c>
      <c r="D186" s="1" t="s">
        <v>49</v>
      </c>
      <c r="E186" s="1" t="s">
        <v>53</v>
      </c>
      <c r="F186" s="1" t="s">
        <v>32</v>
      </c>
      <c r="G186" s="1" t="s">
        <v>57</v>
      </c>
      <c r="H186" s="1" t="s">
        <v>51</v>
      </c>
      <c r="I186" s="1" t="s">
        <v>35</v>
      </c>
      <c r="J186" s="1">
        <v>5</v>
      </c>
      <c r="K186" s="3">
        <v>329.49</v>
      </c>
      <c r="L186" s="4">
        <v>7.0000000000000007E-2</v>
      </c>
      <c r="M186" s="3">
        <v>1532.11</v>
      </c>
      <c r="N186" s="3">
        <v>331.06</v>
      </c>
    </row>
    <row r="187" spans="1:14" x14ac:dyDescent="0.45">
      <c r="A187" s="1" t="s">
        <v>253</v>
      </c>
      <c r="B187" s="2">
        <v>44904</v>
      </c>
      <c r="C187" s="1" t="s">
        <v>29</v>
      </c>
      <c r="D187" s="1" t="s">
        <v>30</v>
      </c>
      <c r="E187" s="1" t="s">
        <v>38</v>
      </c>
      <c r="F187" s="1" t="s">
        <v>32</v>
      </c>
      <c r="G187" s="1" t="s">
        <v>18</v>
      </c>
      <c r="H187" s="1" t="s">
        <v>19</v>
      </c>
      <c r="I187" s="1" t="s">
        <v>42</v>
      </c>
      <c r="J187" s="1">
        <v>4</v>
      </c>
      <c r="K187" s="3">
        <v>54.27</v>
      </c>
      <c r="L187" s="4">
        <v>0.05</v>
      </c>
      <c r="M187" s="3">
        <v>206.22</v>
      </c>
      <c r="N187" s="3">
        <v>-10.45</v>
      </c>
    </row>
    <row r="188" spans="1:14" x14ac:dyDescent="0.45">
      <c r="A188" s="1" t="s">
        <v>254</v>
      </c>
      <c r="B188" s="2">
        <v>44918</v>
      </c>
      <c r="C188" s="1" t="s">
        <v>14</v>
      </c>
      <c r="D188" s="1" t="s">
        <v>15</v>
      </c>
      <c r="E188" s="1" t="s">
        <v>73</v>
      </c>
      <c r="F188" s="1" t="s">
        <v>24</v>
      </c>
      <c r="G188" s="1" t="s">
        <v>18</v>
      </c>
      <c r="H188" s="1" t="s">
        <v>19</v>
      </c>
      <c r="I188" s="1" t="s">
        <v>35</v>
      </c>
      <c r="J188" s="1">
        <v>6</v>
      </c>
      <c r="K188" s="3">
        <v>99.06</v>
      </c>
      <c r="L188" s="4">
        <v>0.1</v>
      </c>
      <c r="M188" s="3">
        <v>534.94000000000005</v>
      </c>
      <c r="N188" s="3">
        <v>114.45</v>
      </c>
    </row>
    <row r="189" spans="1:14" x14ac:dyDescent="0.45">
      <c r="A189" s="1" t="s">
        <v>255</v>
      </c>
      <c r="B189" s="2">
        <v>44922</v>
      </c>
      <c r="C189" s="1" t="s">
        <v>14</v>
      </c>
      <c r="D189" s="1" t="s">
        <v>15</v>
      </c>
      <c r="E189" s="1" t="s">
        <v>38</v>
      </c>
      <c r="F189" s="1" t="s">
        <v>17</v>
      </c>
      <c r="G189" s="1" t="s">
        <v>25</v>
      </c>
      <c r="H189" s="1" t="s">
        <v>26</v>
      </c>
      <c r="I189" s="1" t="s">
        <v>39</v>
      </c>
      <c r="J189" s="1">
        <v>12</v>
      </c>
      <c r="K189" s="3">
        <v>111.13</v>
      </c>
      <c r="L189" s="4">
        <v>0</v>
      </c>
      <c r="M189" s="3">
        <v>1333.55</v>
      </c>
      <c r="N189" s="3">
        <v>387.67</v>
      </c>
    </row>
    <row r="190" spans="1:14" x14ac:dyDescent="0.45">
      <c r="A190" s="1" t="s">
        <v>256</v>
      </c>
      <c r="B190" s="2">
        <v>44925</v>
      </c>
      <c r="C190" s="1" t="s">
        <v>14</v>
      </c>
      <c r="D190" s="1" t="s">
        <v>80</v>
      </c>
      <c r="E190" s="1" t="s">
        <v>69</v>
      </c>
      <c r="F190" s="1" t="s">
        <v>24</v>
      </c>
      <c r="G190" s="1" t="s">
        <v>57</v>
      </c>
      <c r="H190" s="1" t="s">
        <v>51</v>
      </c>
      <c r="I190" s="1" t="s">
        <v>20</v>
      </c>
      <c r="J190" s="1">
        <v>5</v>
      </c>
      <c r="K190" s="3">
        <v>388.13</v>
      </c>
      <c r="L190" s="4">
        <v>0.1</v>
      </c>
      <c r="M190" s="3">
        <v>1746.61</v>
      </c>
      <c r="N190" s="3">
        <v>210.29</v>
      </c>
    </row>
    <row r="191" spans="1:14" x14ac:dyDescent="0.45">
      <c r="A191" s="1" t="s">
        <v>257</v>
      </c>
      <c r="B191" s="2">
        <v>44917</v>
      </c>
      <c r="C191" s="1" t="s">
        <v>48</v>
      </c>
      <c r="D191" s="1" t="s">
        <v>49</v>
      </c>
      <c r="E191" s="1" t="s">
        <v>38</v>
      </c>
      <c r="F191" s="1" t="s">
        <v>17</v>
      </c>
      <c r="G191" s="1" t="s">
        <v>50</v>
      </c>
      <c r="H191" s="1" t="s">
        <v>51</v>
      </c>
      <c r="I191" s="1" t="s">
        <v>39</v>
      </c>
      <c r="J191" s="1">
        <v>3</v>
      </c>
      <c r="K191" s="3">
        <v>382.62</v>
      </c>
      <c r="L191" s="4">
        <v>0</v>
      </c>
      <c r="M191" s="3">
        <v>1147.8599999999999</v>
      </c>
      <c r="N191" s="3">
        <v>261.93</v>
      </c>
    </row>
    <row r="192" spans="1:14" x14ac:dyDescent="0.45">
      <c r="A192" s="1" t="s">
        <v>258</v>
      </c>
      <c r="B192" s="2">
        <v>44922</v>
      </c>
      <c r="C192" s="1" t="s">
        <v>14</v>
      </c>
      <c r="D192" s="1" t="s">
        <v>15</v>
      </c>
      <c r="E192" s="1" t="s">
        <v>38</v>
      </c>
      <c r="F192" s="1" t="s">
        <v>17</v>
      </c>
      <c r="G192" s="1" t="s">
        <v>18</v>
      </c>
      <c r="H192" s="1" t="s">
        <v>19</v>
      </c>
      <c r="I192" s="1" t="s">
        <v>35</v>
      </c>
      <c r="J192" s="1">
        <v>5</v>
      </c>
      <c r="K192" s="3">
        <v>110.96</v>
      </c>
      <c r="L192" s="4">
        <v>0.03</v>
      </c>
      <c r="M192" s="3">
        <v>538.14</v>
      </c>
      <c r="N192" s="3">
        <v>14.95</v>
      </c>
    </row>
    <row r="193" spans="1:14" x14ac:dyDescent="0.45">
      <c r="A193" s="1" t="s">
        <v>259</v>
      </c>
      <c r="B193" s="2">
        <v>44929</v>
      </c>
      <c r="C193" s="1" t="s">
        <v>14</v>
      </c>
      <c r="D193" s="1" t="s">
        <v>15</v>
      </c>
      <c r="E193" s="1" t="s">
        <v>81</v>
      </c>
      <c r="F193" s="1" t="s">
        <v>17</v>
      </c>
      <c r="G193" s="1" t="s">
        <v>57</v>
      </c>
      <c r="H193" s="1" t="s">
        <v>51</v>
      </c>
      <c r="I193" s="1" t="s">
        <v>27</v>
      </c>
      <c r="J193" s="1">
        <v>12</v>
      </c>
      <c r="K193" s="3">
        <v>75.099999999999994</v>
      </c>
      <c r="L193" s="4">
        <v>0.05</v>
      </c>
      <c r="M193" s="3">
        <v>856.13</v>
      </c>
      <c r="N193" s="3">
        <v>164.91</v>
      </c>
    </row>
    <row r="194" spans="1:14" x14ac:dyDescent="0.45">
      <c r="A194" s="1" t="s">
        <v>260</v>
      </c>
      <c r="B194" s="2">
        <v>44952</v>
      </c>
      <c r="C194" s="1" t="s">
        <v>48</v>
      </c>
      <c r="D194" s="1" t="s">
        <v>91</v>
      </c>
      <c r="E194" s="1" t="s">
        <v>87</v>
      </c>
      <c r="F194" s="1" t="s">
        <v>24</v>
      </c>
      <c r="G194" s="1" t="s">
        <v>18</v>
      </c>
      <c r="H194" s="1" t="s">
        <v>19</v>
      </c>
      <c r="I194" s="1" t="s">
        <v>20</v>
      </c>
      <c r="J194" s="1">
        <v>3</v>
      </c>
      <c r="K194" s="3">
        <v>515.15</v>
      </c>
      <c r="L194" s="4">
        <v>0.1</v>
      </c>
      <c r="M194" s="3">
        <v>1390.89</v>
      </c>
      <c r="N194" s="3">
        <v>214.73</v>
      </c>
    </row>
    <row r="195" spans="1:14" x14ac:dyDescent="0.45">
      <c r="A195" s="1" t="s">
        <v>261</v>
      </c>
      <c r="B195" s="2">
        <v>44950</v>
      </c>
      <c r="C195" s="1" t="s">
        <v>29</v>
      </c>
      <c r="D195" s="1" t="s">
        <v>30</v>
      </c>
      <c r="E195" s="1" t="s">
        <v>63</v>
      </c>
      <c r="F195" s="1" t="s">
        <v>17</v>
      </c>
      <c r="G195" s="1" t="s">
        <v>61</v>
      </c>
      <c r="H195" s="1" t="s">
        <v>51</v>
      </c>
      <c r="I195" s="1" t="s">
        <v>20</v>
      </c>
      <c r="J195" s="1">
        <v>17</v>
      </c>
      <c r="K195" s="3">
        <v>45.4</v>
      </c>
      <c r="L195" s="4">
        <v>0</v>
      </c>
      <c r="M195" s="3">
        <v>771.82</v>
      </c>
      <c r="N195" s="3">
        <v>63.91</v>
      </c>
    </row>
    <row r="196" spans="1:14" x14ac:dyDescent="0.45">
      <c r="A196" s="1" t="s">
        <v>262</v>
      </c>
      <c r="B196" s="2">
        <v>44932</v>
      </c>
      <c r="C196" s="1" t="s">
        <v>29</v>
      </c>
      <c r="D196" s="1" t="s">
        <v>44</v>
      </c>
      <c r="E196" s="1" t="s">
        <v>87</v>
      </c>
      <c r="F196" s="1" t="s">
        <v>24</v>
      </c>
      <c r="G196" s="1" t="s">
        <v>18</v>
      </c>
      <c r="H196" s="1" t="s">
        <v>19</v>
      </c>
      <c r="I196" s="1" t="s">
        <v>67</v>
      </c>
      <c r="J196" s="1">
        <v>2</v>
      </c>
      <c r="K196" s="3">
        <v>26.42</v>
      </c>
      <c r="L196" s="4">
        <v>0.03</v>
      </c>
      <c r="M196" s="3">
        <v>51.25</v>
      </c>
      <c r="N196" s="3">
        <v>-2.2200000000000002</v>
      </c>
    </row>
    <row r="197" spans="1:14" x14ac:dyDescent="0.45">
      <c r="A197" s="1" t="s">
        <v>263</v>
      </c>
      <c r="B197" s="2">
        <v>44957</v>
      </c>
      <c r="C197" s="1" t="s">
        <v>29</v>
      </c>
      <c r="D197" s="1" t="s">
        <v>44</v>
      </c>
      <c r="E197" s="1" t="s">
        <v>60</v>
      </c>
      <c r="F197" s="1" t="s">
        <v>24</v>
      </c>
      <c r="G197" s="1" t="s">
        <v>33</v>
      </c>
      <c r="H197" s="1" t="s">
        <v>34</v>
      </c>
      <c r="I197" s="1" t="s">
        <v>67</v>
      </c>
      <c r="J197" s="1">
        <v>11</v>
      </c>
      <c r="K197" s="3">
        <v>31.96</v>
      </c>
      <c r="L197" s="4">
        <v>0.1</v>
      </c>
      <c r="M197" s="3">
        <v>316.45</v>
      </c>
      <c r="N197" s="3">
        <v>48.81</v>
      </c>
    </row>
    <row r="198" spans="1:14" x14ac:dyDescent="0.45">
      <c r="A198" s="1" t="s">
        <v>264</v>
      </c>
      <c r="B198" s="2">
        <v>44937</v>
      </c>
      <c r="C198" s="1" t="s">
        <v>14</v>
      </c>
      <c r="D198" s="1" t="s">
        <v>22</v>
      </c>
      <c r="E198" s="1" t="s">
        <v>69</v>
      </c>
      <c r="F198" s="1" t="s">
        <v>17</v>
      </c>
      <c r="G198" s="1" t="s">
        <v>33</v>
      </c>
      <c r="H198" s="1" t="s">
        <v>34</v>
      </c>
      <c r="I198" s="1" t="s">
        <v>39</v>
      </c>
      <c r="J198" s="1">
        <v>6</v>
      </c>
      <c r="K198" s="3">
        <v>1374.1</v>
      </c>
      <c r="L198" s="4">
        <v>7.0000000000000007E-2</v>
      </c>
      <c r="M198" s="3">
        <v>7667.46</v>
      </c>
      <c r="N198" s="3">
        <v>1591.24</v>
      </c>
    </row>
    <row r="199" spans="1:14" x14ac:dyDescent="0.45">
      <c r="A199" s="1" t="s">
        <v>265</v>
      </c>
      <c r="B199" s="2">
        <v>44953</v>
      </c>
      <c r="C199" s="1" t="s">
        <v>14</v>
      </c>
      <c r="D199" s="1" t="s">
        <v>15</v>
      </c>
      <c r="E199" s="1" t="s">
        <v>41</v>
      </c>
      <c r="F199" s="1" t="s">
        <v>24</v>
      </c>
      <c r="G199" s="1" t="s">
        <v>74</v>
      </c>
      <c r="H199" s="1" t="s">
        <v>26</v>
      </c>
      <c r="I199" s="1" t="s">
        <v>39</v>
      </c>
      <c r="J199" s="1">
        <v>18</v>
      </c>
      <c r="K199" s="3">
        <v>81.86</v>
      </c>
      <c r="L199" s="4">
        <v>0</v>
      </c>
      <c r="M199" s="3">
        <v>1473.53</v>
      </c>
      <c r="N199" s="3">
        <v>466.86</v>
      </c>
    </row>
    <row r="200" spans="1:14" x14ac:dyDescent="0.45">
      <c r="A200" s="1" t="s">
        <v>266</v>
      </c>
      <c r="B200" s="2">
        <v>44956</v>
      </c>
      <c r="C200" s="1" t="s">
        <v>48</v>
      </c>
      <c r="D200" s="1" t="s">
        <v>49</v>
      </c>
      <c r="E200" s="1" t="s">
        <v>73</v>
      </c>
      <c r="F200" s="1" t="s">
        <v>17</v>
      </c>
      <c r="G200" s="1" t="s">
        <v>74</v>
      </c>
      <c r="H200" s="1" t="s">
        <v>26</v>
      </c>
      <c r="I200" s="1" t="s">
        <v>20</v>
      </c>
      <c r="J200" s="1">
        <v>6</v>
      </c>
      <c r="K200" s="3">
        <v>284.97000000000003</v>
      </c>
      <c r="L200" s="4">
        <v>0.05</v>
      </c>
      <c r="M200" s="3">
        <v>1624.33</v>
      </c>
      <c r="N200" s="3">
        <v>293.24</v>
      </c>
    </row>
    <row r="201" spans="1:14" x14ac:dyDescent="0.45">
      <c r="A201" s="1" t="s">
        <v>267</v>
      </c>
      <c r="B201" s="2">
        <v>44943</v>
      </c>
      <c r="C201" s="1" t="s">
        <v>29</v>
      </c>
      <c r="D201" s="1" t="s">
        <v>30</v>
      </c>
      <c r="E201" s="1" t="s">
        <v>89</v>
      </c>
      <c r="F201" s="1" t="s">
        <v>17</v>
      </c>
      <c r="G201" s="1" t="s">
        <v>50</v>
      </c>
      <c r="H201" s="1" t="s">
        <v>51</v>
      </c>
      <c r="I201" s="1" t="s">
        <v>39</v>
      </c>
      <c r="J201" s="1">
        <v>6</v>
      </c>
      <c r="K201" s="3">
        <v>44.43</v>
      </c>
      <c r="L201" s="4">
        <v>0.05</v>
      </c>
      <c r="M201" s="3">
        <v>253.22</v>
      </c>
      <c r="N201" s="3">
        <v>5.3</v>
      </c>
    </row>
    <row r="202" spans="1:14" x14ac:dyDescent="0.45">
      <c r="A202" s="1" t="s">
        <v>268</v>
      </c>
      <c r="B202" s="2">
        <v>44953</v>
      </c>
      <c r="C202" s="1" t="s">
        <v>48</v>
      </c>
      <c r="D202" s="1" t="s">
        <v>49</v>
      </c>
      <c r="E202" s="1" t="s">
        <v>81</v>
      </c>
      <c r="F202" s="1" t="s">
        <v>17</v>
      </c>
      <c r="G202" s="1" t="s">
        <v>61</v>
      </c>
      <c r="H202" s="1" t="s">
        <v>51</v>
      </c>
      <c r="I202" s="1" t="s">
        <v>42</v>
      </c>
      <c r="J202" s="1">
        <v>4</v>
      </c>
      <c r="K202" s="3">
        <v>303.17</v>
      </c>
      <c r="L202" s="4">
        <v>0</v>
      </c>
      <c r="M202" s="3">
        <v>1212.69</v>
      </c>
      <c r="N202" s="3">
        <v>183.24</v>
      </c>
    </row>
    <row r="203" spans="1:14" x14ac:dyDescent="0.45">
      <c r="A203" s="1" t="s">
        <v>269</v>
      </c>
      <c r="B203" s="2">
        <v>44949</v>
      </c>
      <c r="C203" s="1" t="s">
        <v>14</v>
      </c>
      <c r="D203" s="1" t="s">
        <v>22</v>
      </c>
      <c r="E203" s="1" t="s">
        <v>38</v>
      </c>
      <c r="F203" s="1" t="s">
        <v>32</v>
      </c>
      <c r="G203" s="1" t="s">
        <v>57</v>
      </c>
      <c r="H203" s="1" t="s">
        <v>51</v>
      </c>
      <c r="I203" s="1" t="s">
        <v>39</v>
      </c>
      <c r="J203" s="1">
        <v>3</v>
      </c>
      <c r="K203" s="3">
        <v>1201.79</v>
      </c>
      <c r="L203" s="4">
        <v>0.1</v>
      </c>
      <c r="M203" s="3">
        <v>3244.84</v>
      </c>
      <c r="N203" s="3">
        <v>640.71</v>
      </c>
    </row>
    <row r="204" spans="1:14" x14ac:dyDescent="0.45">
      <c r="A204" s="1" t="s">
        <v>270</v>
      </c>
      <c r="B204" s="2">
        <v>44946</v>
      </c>
      <c r="C204" s="1" t="s">
        <v>29</v>
      </c>
      <c r="D204" s="1" t="s">
        <v>44</v>
      </c>
      <c r="E204" s="1" t="s">
        <v>60</v>
      </c>
      <c r="F204" s="1" t="s">
        <v>32</v>
      </c>
      <c r="G204" s="1" t="s">
        <v>57</v>
      </c>
      <c r="H204" s="1" t="s">
        <v>51</v>
      </c>
      <c r="I204" s="1" t="s">
        <v>27</v>
      </c>
      <c r="J204" s="1">
        <v>6</v>
      </c>
      <c r="K204" s="3">
        <v>26.5</v>
      </c>
      <c r="L204" s="4">
        <v>0.03</v>
      </c>
      <c r="M204" s="3">
        <v>154.26</v>
      </c>
      <c r="N204" s="3">
        <v>-34.86</v>
      </c>
    </row>
    <row r="205" spans="1:14" x14ac:dyDescent="0.45">
      <c r="A205" s="1" t="s">
        <v>271</v>
      </c>
      <c r="B205" s="2">
        <v>44938</v>
      </c>
      <c r="C205" s="1" t="s">
        <v>48</v>
      </c>
      <c r="D205" s="1" t="s">
        <v>49</v>
      </c>
      <c r="E205" s="1" t="s">
        <v>106</v>
      </c>
      <c r="F205" s="1" t="s">
        <v>17</v>
      </c>
      <c r="G205" s="1" t="s">
        <v>25</v>
      </c>
      <c r="H205" s="1" t="s">
        <v>26</v>
      </c>
      <c r="I205" s="1" t="s">
        <v>35</v>
      </c>
      <c r="J205" s="1">
        <v>8</v>
      </c>
      <c r="K205" s="3">
        <v>298.44</v>
      </c>
      <c r="L205" s="4">
        <v>7.0000000000000007E-2</v>
      </c>
      <c r="M205" s="3">
        <v>2220.38</v>
      </c>
      <c r="N205" s="3">
        <v>460.21</v>
      </c>
    </row>
    <row r="206" spans="1:14" x14ac:dyDescent="0.45">
      <c r="A206" s="1" t="s">
        <v>272</v>
      </c>
      <c r="B206" s="2">
        <v>44929</v>
      </c>
      <c r="C206" s="1" t="s">
        <v>14</v>
      </c>
      <c r="D206" s="1" t="s">
        <v>80</v>
      </c>
      <c r="E206" s="1" t="s">
        <v>56</v>
      </c>
      <c r="F206" s="1" t="s">
        <v>32</v>
      </c>
      <c r="G206" s="1" t="s">
        <v>46</v>
      </c>
      <c r="H206" s="1" t="s">
        <v>26</v>
      </c>
      <c r="I206" s="1" t="s">
        <v>20</v>
      </c>
      <c r="J206" s="1">
        <v>2</v>
      </c>
      <c r="K206" s="3">
        <v>300.91000000000003</v>
      </c>
      <c r="L206" s="4">
        <v>0.1</v>
      </c>
      <c r="M206" s="3">
        <v>541.64</v>
      </c>
      <c r="N206" s="3">
        <v>4.84</v>
      </c>
    </row>
    <row r="207" spans="1:14" x14ac:dyDescent="0.45">
      <c r="A207" s="1" t="s">
        <v>273</v>
      </c>
      <c r="B207" s="2">
        <v>44930</v>
      </c>
      <c r="C207" s="1" t="s">
        <v>14</v>
      </c>
      <c r="D207" s="1" t="s">
        <v>22</v>
      </c>
      <c r="E207" s="1" t="s">
        <v>63</v>
      </c>
      <c r="F207" s="1" t="s">
        <v>24</v>
      </c>
      <c r="G207" s="1" t="s">
        <v>66</v>
      </c>
      <c r="H207" s="1" t="s">
        <v>26</v>
      </c>
      <c r="I207" s="1" t="s">
        <v>27</v>
      </c>
      <c r="J207" s="1">
        <v>8</v>
      </c>
      <c r="K207" s="3">
        <v>1334.99</v>
      </c>
      <c r="L207" s="4">
        <v>0.1</v>
      </c>
      <c r="M207" s="3">
        <v>9611.9599999999991</v>
      </c>
      <c r="N207" s="3">
        <v>2047.06</v>
      </c>
    </row>
    <row r="208" spans="1:14" x14ac:dyDescent="0.45">
      <c r="A208" s="1" t="s">
        <v>274</v>
      </c>
      <c r="B208" s="2">
        <v>44956</v>
      </c>
      <c r="C208" s="1" t="s">
        <v>29</v>
      </c>
      <c r="D208" s="1" t="s">
        <v>44</v>
      </c>
      <c r="E208" s="1" t="s">
        <v>73</v>
      </c>
      <c r="F208" s="1" t="s">
        <v>17</v>
      </c>
      <c r="G208" s="1" t="s">
        <v>25</v>
      </c>
      <c r="H208" s="1" t="s">
        <v>26</v>
      </c>
      <c r="I208" s="1" t="s">
        <v>27</v>
      </c>
      <c r="J208" s="1">
        <v>6</v>
      </c>
      <c r="K208" s="3">
        <v>28.15</v>
      </c>
      <c r="L208" s="4">
        <v>0.03</v>
      </c>
      <c r="M208" s="3">
        <v>163.85</v>
      </c>
      <c r="N208" s="3">
        <v>-27.79</v>
      </c>
    </row>
    <row r="209" spans="1:14" x14ac:dyDescent="0.45">
      <c r="A209" s="1" t="s">
        <v>275</v>
      </c>
      <c r="B209" s="2">
        <v>44930</v>
      </c>
      <c r="C209" s="1" t="s">
        <v>29</v>
      </c>
      <c r="D209" s="1" t="s">
        <v>37</v>
      </c>
      <c r="E209" s="1" t="s">
        <v>53</v>
      </c>
      <c r="F209" s="1" t="s">
        <v>17</v>
      </c>
      <c r="G209" s="1" t="s">
        <v>74</v>
      </c>
      <c r="H209" s="1" t="s">
        <v>26</v>
      </c>
      <c r="I209" s="1" t="s">
        <v>35</v>
      </c>
      <c r="J209" s="1">
        <v>6</v>
      </c>
      <c r="K209" s="3">
        <v>74.98</v>
      </c>
      <c r="L209" s="4">
        <v>7.0000000000000007E-2</v>
      </c>
      <c r="M209" s="3">
        <v>418.37</v>
      </c>
      <c r="N209" s="3">
        <v>54.42</v>
      </c>
    </row>
    <row r="210" spans="1:14" x14ac:dyDescent="0.45">
      <c r="A210" s="1" t="s">
        <v>276</v>
      </c>
      <c r="B210" s="2">
        <v>44978</v>
      </c>
      <c r="C210" s="1" t="s">
        <v>48</v>
      </c>
      <c r="D210" s="1" t="s">
        <v>78</v>
      </c>
      <c r="E210" s="1" t="s">
        <v>73</v>
      </c>
      <c r="F210" s="1" t="s">
        <v>32</v>
      </c>
      <c r="G210" s="1" t="s">
        <v>61</v>
      </c>
      <c r="H210" s="1" t="s">
        <v>51</v>
      </c>
      <c r="I210" s="1" t="s">
        <v>27</v>
      </c>
      <c r="J210" s="1">
        <v>6</v>
      </c>
      <c r="K210" s="3">
        <v>487.32</v>
      </c>
      <c r="L210" s="4">
        <v>0.1</v>
      </c>
      <c r="M210" s="3">
        <v>2631.5</v>
      </c>
      <c r="N210" s="3">
        <v>504.94</v>
      </c>
    </row>
    <row r="211" spans="1:14" x14ac:dyDescent="0.45">
      <c r="A211" s="1" t="s">
        <v>277</v>
      </c>
      <c r="B211" s="2">
        <v>44979</v>
      </c>
      <c r="C211" s="1" t="s">
        <v>29</v>
      </c>
      <c r="D211" s="1" t="s">
        <v>30</v>
      </c>
      <c r="E211" s="1" t="s">
        <v>60</v>
      </c>
      <c r="F211" s="1" t="s">
        <v>17</v>
      </c>
      <c r="G211" s="1" t="s">
        <v>18</v>
      </c>
      <c r="H211" s="1" t="s">
        <v>19</v>
      </c>
      <c r="I211" s="1" t="s">
        <v>67</v>
      </c>
      <c r="J211" s="1">
        <v>17</v>
      </c>
      <c r="K211" s="3">
        <v>43.71</v>
      </c>
      <c r="L211" s="4">
        <v>0</v>
      </c>
      <c r="M211" s="3">
        <v>743.05</v>
      </c>
      <c r="N211" s="3">
        <v>63.9</v>
      </c>
    </row>
    <row r="212" spans="1:14" x14ac:dyDescent="0.45">
      <c r="A212" s="1" t="s">
        <v>278</v>
      </c>
      <c r="B212" s="2">
        <v>44979</v>
      </c>
      <c r="C212" s="1" t="s">
        <v>14</v>
      </c>
      <c r="D212" s="1" t="s">
        <v>15</v>
      </c>
      <c r="E212" s="1" t="s">
        <v>31</v>
      </c>
      <c r="F212" s="1" t="s">
        <v>24</v>
      </c>
      <c r="G212" s="1" t="s">
        <v>61</v>
      </c>
      <c r="H212" s="1" t="s">
        <v>51</v>
      </c>
      <c r="I212" s="1" t="s">
        <v>67</v>
      </c>
      <c r="J212" s="1">
        <v>6</v>
      </c>
      <c r="K212" s="3">
        <v>89.37</v>
      </c>
      <c r="L212" s="4">
        <v>0.03</v>
      </c>
      <c r="M212" s="3">
        <v>520.13</v>
      </c>
      <c r="N212" s="3">
        <v>45.38</v>
      </c>
    </row>
    <row r="213" spans="1:14" x14ac:dyDescent="0.45">
      <c r="A213" s="1" t="s">
        <v>279</v>
      </c>
      <c r="B213" s="2">
        <v>44985</v>
      </c>
      <c r="C213" s="1" t="s">
        <v>29</v>
      </c>
      <c r="D213" s="1" t="s">
        <v>30</v>
      </c>
      <c r="E213" s="1" t="s">
        <v>95</v>
      </c>
      <c r="F213" s="1" t="s">
        <v>17</v>
      </c>
      <c r="G213" s="1" t="s">
        <v>50</v>
      </c>
      <c r="H213" s="1" t="s">
        <v>51</v>
      </c>
      <c r="I213" s="1" t="s">
        <v>35</v>
      </c>
      <c r="J213" s="1">
        <v>14</v>
      </c>
      <c r="K213" s="3">
        <v>46.89</v>
      </c>
      <c r="L213" s="4">
        <v>7.0000000000000007E-2</v>
      </c>
      <c r="M213" s="3">
        <v>610.53</v>
      </c>
      <c r="N213" s="3">
        <v>61.8</v>
      </c>
    </row>
    <row r="214" spans="1:14" x14ac:dyDescent="0.45">
      <c r="A214" s="1" t="s">
        <v>280</v>
      </c>
      <c r="B214" s="2">
        <v>44963</v>
      </c>
      <c r="C214" s="1" t="s">
        <v>48</v>
      </c>
      <c r="D214" s="1" t="s">
        <v>78</v>
      </c>
      <c r="E214" s="1" t="s">
        <v>95</v>
      </c>
      <c r="F214" s="1" t="s">
        <v>32</v>
      </c>
      <c r="G214" s="1" t="s">
        <v>50</v>
      </c>
      <c r="H214" s="1" t="s">
        <v>51</v>
      </c>
      <c r="I214" s="1" t="s">
        <v>20</v>
      </c>
      <c r="J214" s="1">
        <v>6</v>
      </c>
      <c r="K214" s="3">
        <v>425.61</v>
      </c>
      <c r="L214" s="4">
        <v>0</v>
      </c>
      <c r="M214" s="3">
        <v>2553.66</v>
      </c>
      <c r="N214" s="3">
        <v>487.02</v>
      </c>
    </row>
    <row r="215" spans="1:14" x14ac:dyDescent="0.45">
      <c r="A215" s="1" t="s">
        <v>281</v>
      </c>
      <c r="B215" s="2">
        <v>44979</v>
      </c>
      <c r="C215" s="1" t="s">
        <v>48</v>
      </c>
      <c r="D215" s="1" t="s">
        <v>91</v>
      </c>
      <c r="E215" s="1" t="s">
        <v>104</v>
      </c>
      <c r="F215" s="1" t="s">
        <v>24</v>
      </c>
      <c r="G215" s="1" t="s">
        <v>25</v>
      </c>
      <c r="H215" s="1" t="s">
        <v>26</v>
      </c>
      <c r="I215" s="1" t="s">
        <v>20</v>
      </c>
      <c r="J215" s="1">
        <v>7</v>
      </c>
      <c r="K215" s="3">
        <v>570.65</v>
      </c>
      <c r="L215" s="4">
        <v>7.0000000000000007E-2</v>
      </c>
      <c r="M215" s="3">
        <v>3714.96</v>
      </c>
      <c r="N215" s="3">
        <v>644.37</v>
      </c>
    </row>
    <row r="216" spans="1:14" x14ac:dyDescent="0.45">
      <c r="A216" s="1" t="s">
        <v>282</v>
      </c>
      <c r="B216" s="2">
        <v>44966</v>
      </c>
      <c r="C216" s="1" t="s">
        <v>48</v>
      </c>
      <c r="D216" s="1" t="s">
        <v>78</v>
      </c>
      <c r="E216" s="1" t="s">
        <v>65</v>
      </c>
      <c r="F216" s="1" t="s">
        <v>32</v>
      </c>
      <c r="G216" s="1" t="s">
        <v>46</v>
      </c>
      <c r="H216" s="1" t="s">
        <v>26</v>
      </c>
      <c r="I216" s="1" t="s">
        <v>35</v>
      </c>
      <c r="J216" s="1">
        <v>8</v>
      </c>
      <c r="K216" s="3">
        <v>418.24</v>
      </c>
      <c r="L216" s="4">
        <v>0.1</v>
      </c>
      <c r="M216" s="3">
        <v>3011.31</v>
      </c>
      <c r="N216" s="3">
        <v>577.82000000000005</v>
      </c>
    </row>
    <row r="217" spans="1:14" x14ac:dyDescent="0.45">
      <c r="A217" s="1" t="s">
        <v>283</v>
      </c>
      <c r="B217" s="2">
        <v>44978</v>
      </c>
      <c r="C217" s="1" t="s">
        <v>29</v>
      </c>
      <c r="D217" s="1" t="s">
        <v>44</v>
      </c>
      <c r="E217" s="1" t="s">
        <v>38</v>
      </c>
      <c r="F217" s="1" t="s">
        <v>24</v>
      </c>
      <c r="G217" s="1" t="s">
        <v>61</v>
      </c>
      <c r="H217" s="1" t="s">
        <v>51</v>
      </c>
      <c r="I217" s="1" t="s">
        <v>20</v>
      </c>
      <c r="J217" s="1">
        <v>6</v>
      </c>
      <c r="K217" s="3">
        <v>27.9</v>
      </c>
      <c r="L217" s="4">
        <v>7.0000000000000007E-2</v>
      </c>
      <c r="M217" s="3">
        <v>155.66</v>
      </c>
      <c r="N217" s="3">
        <v>-2.5099999999999998</v>
      </c>
    </row>
    <row r="218" spans="1:14" x14ac:dyDescent="0.45">
      <c r="A218" s="1" t="s">
        <v>284</v>
      </c>
      <c r="B218" s="2">
        <v>44980</v>
      </c>
      <c r="C218" s="1" t="s">
        <v>29</v>
      </c>
      <c r="D218" s="1" t="s">
        <v>30</v>
      </c>
      <c r="E218" s="1" t="s">
        <v>53</v>
      </c>
      <c r="F218" s="1" t="s">
        <v>17</v>
      </c>
      <c r="G218" s="1" t="s">
        <v>25</v>
      </c>
      <c r="H218" s="1" t="s">
        <v>26</v>
      </c>
      <c r="I218" s="1" t="s">
        <v>39</v>
      </c>
      <c r="J218" s="1">
        <v>9</v>
      </c>
      <c r="K218" s="3">
        <v>46.69</v>
      </c>
      <c r="L218" s="4">
        <v>0.1</v>
      </c>
      <c r="M218" s="3">
        <v>378.2</v>
      </c>
      <c r="N218" s="3">
        <v>50.62</v>
      </c>
    </row>
    <row r="219" spans="1:14" x14ac:dyDescent="0.45">
      <c r="A219" s="1" t="s">
        <v>285</v>
      </c>
      <c r="B219" s="2">
        <v>44984</v>
      </c>
      <c r="C219" s="1" t="s">
        <v>48</v>
      </c>
      <c r="D219" s="1" t="s">
        <v>78</v>
      </c>
      <c r="E219" s="1" t="s">
        <v>89</v>
      </c>
      <c r="F219" s="1" t="s">
        <v>17</v>
      </c>
      <c r="G219" s="1" t="s">
        <v>57</v>
      </c>
      <c r="H219" s="1" t="s">
        <v>51</v>
      </c>
      <c r="I219" s="1" t="s">
        <v>42</v>
      </c>
      <c r="J219" s="1">
        <v>6</v>
      </c>
      <c r="K219" s="3">
        <v>392.69</v>
      </c>
      <c r="L219" s="4">
        <v>0.1</v>
      </c>
      <c r="M219" s="3">
        <v>2120.5100000000002</v>
      </c>
      <c r="N219" s="3">
        <v>461.04</v>
      </c>
    </row>
    <row r="220" spans="1:14" x14ac:dyDescent="0.45">
      <c r="A220" s="1" t="s">
        <v>286</v>
      </c>
      <c r="B220" s="2">
        <v>44960</v>
      </c>
      <c r="C220" s="1" t="s">
        <v>48</v>
      </c>
      <c r="D220" s="1" t="s">
        <v>49</v>
      </c>
      <c r="E220" s="1" t="s">
        <v>38</v>
      </c>
      <c r="F220" s="1" t="s">
        <v>17</v>
      </c>
      <c r="G220" s="1" t="s">
        <v>50</v>
      </c>
      <c r="H220" s="1" t="s">
        <v>51</v>
      </c>
      <c r="I220" s="1" t="s">
        <v>42</v>
      </c>
      <c r="J220" s="1">
        <v>1</v>
      </c>
      <c r="K220" s="3">
        <v>305.89999999999998</v>
      </c>
      <c r="L220" s="4">
        <v>0.05</v>
      </c>
      <c r="M220" s="3">
        <v>290.61</v>
      </c>
      <c r="N220" s="3">
        <v>-35.81</v>
      </c>
    </row>
    <row r="221" spans="1:14" x14ac:dyDescent="0.45">
      <c r="A221" s="1" t="s">
        <v>287</v>
      </c>
      <c r="B221" s="2">
        <v>44980</v>
      </c>
      <c r="C221" s="1" t="s">
        <v>48</v>
      </c>
      <c r="D221" s="1" t="s">
        <v>49</v>
      </c>
      <c r="E221" s="1" t="s">
        <v>95</v>
      </c>
      <c r="F221" s="1" t="s">
        <v>24</v>
      </c>
      <c r="G221" s="1" t="s">
        <v>54</v>
      </c>
      <c r="H221" s="1" t="s">
        <v>51</v>
      </c>
      <c r="I221" s="1" t="s">
        <v>39</v>
      </c>
      <c r="J221" s="1">
        <v>6</v>
      </c>
      <c r="K221" s="3">
        <v>323.75</v>
      </c>
      <c r="L221" s="4">
        <v>0.1</v>
      </c>
      <c r="M221" s="3">
        <v>1748.26</v>
      </c>
      <c r="N221" s="3">
        <v>358.66</v>
      </c>
    </row>
    <row r="222" spans="1:14" x14ac:dyDescent="0.45">
      <c r="A222" s="1" t="s">
        <v>288</v>
      </c>
      <c r="B222" s="2">
        <v>44971</v>
      </c>
      <c r="C222" s="1" t="s">
        <v>48</v>
      </c>
      <c r="D222" s="1" t="s">
        <v>91</v>
      </c>
      <c r="E222" s="1" t="s">
        <v>106</v>
      </c>
      <c r="F222" s="1" t="s">
        <v>24</v>
      </c>
      <c r="G222" s="1" t="s">
        <v>54</v>
      </c>
      <c r="H222" s="1" t="s">
        <v>51</v>
      </c>
      <c r="I222" s="1" t="s">
        <v>67</v>
      </c>
      <c r="J222" s="1">
        <v>7</v>
      </c>
      <c r="K222" s="3">
        <v>576.36</v>
      </c>
      <c r="L222" s="4">
        <v>7.0000000000000007E-2</v>
      </c>
      <c r="M222" s="3">
        <v>3752.09</v>
      </c>
      <c r="N222" s="3">
        <v>757.6</v>
      </c>
    </row>
    <row r="223" spans="1:14" x14ac:dyDescent="0.45">
      <c r="A223" s="1" t="s">
        <v>289</v>
      </c>
      <c r="B223" s="2">
        <v>44973</v>
      </c>
      <c r="C223" s="1" t="s">
        <v>14</v>
      </c>
      <c r="D223" s="1" t="s">
        <v>15</v>
      </c>
      <c r="E223" s="1" t="s">
        <v>45</v>
      </c>
      <c r="F223" s="1" t="s">
        <v>17</v>
      </c>
      <c r="G223" s="1" t="s">
        <v>61</v>
      </c>
      <c r="H223" s="1" t="s">
        <v>51</v>
      </c>
      <c r="I223" s="1" t="s">
        <v>27</v>
      </c>
      <c r="J223" s="1">
        <v>18</v>
      </c>
      <c r="K223" s="3">
        <v>86.36</v>
      </c>
      <c r="L223" s="4">
        <v>0</v>
      </c>
      <c r="M223" s="3">
        <v>1554.4</v>
      </c>
      <c r="N223" s="3">
        <v>436.82</v>
      </c>
    </row>
    <row r="224" spans="1:14" x14ac:dyDescent="0.45">
      <c r="A224" s="1" t="s">
        <v>290</v>
      </c>
      <c r="B224" s="2">
        <v>44960</v>
      </c>
      <c r="C224" s="1" t="s">
        <v>29</v>
      </c>
      <c r="D224" s="1" t="s">
        <v>44</v>
      </c>
      <c r="E224" s="1" t="s">
        <v>92</v>
      </c>
      <c r="F224" s="1" t="s">
        <v>32</v>
      </c>
      <c r="G224" s="1" t="s">
        <v>66</v>
      </c>
      <c r="H224" s="1" t="s">
        <v>26</v>
      </c>
      <c r="I224" s="1" t="s">
        <v>39</v>
      </c>
      <c r="J224" s="1">
        <v>9</v>
      </c>
      <c r="K224" s="3">
        <v>32.54</v>
      </c>
      <c r="L224" s="4">
        <v>0</v>
      </c>
      <c r="M224" s="3">
        <v>292.83</v>
      </c>
      <c r="N224" s="3">
        <v>0.43</v>
      </c>
    </row>
    <row r="225" spans="1:14" x14ac:dyDescent="0.45">
      <c r="A225" s="1" t="s">
        <v>291</v>
      </c>
      <c r="B225" s="2">
        <v>45005</v>
      </c>
      <c r="C225" s="1" t="s">
        <v>14</v>
      </c>
      <c r="D225" s="1" t="s">
        <v>80</v>
      </c>
      <c r="E225" s="1" t="s">
        <v>60</v>
      </c>
      <c r="F225" s="1" t="s">
        <v>24</v>
      </c>
      <c r="G225" s="1" t="s">
        <v>61</v>
      </c>
      <c r="H225" s="1" t="s">
        <v>51</v>
      </c>
      <c r="I225" s="1" t="s">
        <v>39</v>
      </c>
      <c r="J225" s="1">
        <v>1</v>
      </c>
      <c r="K225" s="3">
        <v>381.66</v>
      </c>
      <c r="L225" s="4">
        <v>0.1</v>
      </c>
      <c r="M225" s="3">
        <v>343.49</v>
      </c>
      <c r="N225" s="3">
        <v>-15.36</v>
      </c>
    </row>
    <row r="226" spans="1:14" x14ac:dyDescent="0.45">
      <c r="A226" s="1" t="s">
        <v>292</v>
      </c>
      <c r="B226" s="2">
        <v>44987</v>
      </c>
      <c r="C226" s="1" t="s">
        <v>48</v>
      </c>
      <c r="D226" s="1" t="s">
        <v>91</v>
      </c>
      <c r="E226" s="1" t="s">
        <v>63</v>
      </c>
      <c r="F226" s="1" t="s">
        <v>24</v>
      </c>
      <c r="G226" s="1" t="s">
        <v>74</v>
      </c>
      <c r="H226" s="1" t="s">
        <v>26</v>
      </c>
      <c r="I226" s="1" t="s">
        <v>27</v>
      </c>
      <c r="J226" s="1">
        <v>4</v>
      </c>
      <c r="K226" s="3">
        <v>498.06</v>
      </c>
      <c r="L226" s="4">
        <v>0.1</v>
      </c>
      <c r="M226" s="3">
        <v>1793.02</v>
      </c>
      <c r="N226" s="3">
        <v>350.43</v>
      </c>
    </row>
    <row r="227" spans="1:14" x14ac:dyDescent="0.45">
      <c r="A227" s="1" t="s">
        <v>293</v>
      </c>
      <c r="B227" s="2">
        <v>44992</v>
      </c>
      <c r="C227" s="1" t="s">
        <v>14</v>
      </c>
      <c r="D227" s="1" t="s">
        <v>15</v>
      </c>
      <c r="E227" s="1" t="s">
        <v>73</v>
      </c>
      <c r="F227" s="1" t="s">
        <v>24</v>
      </c>
      <c r="G227" s="1" t="s">
        <v>18</v>
      </c>
      <c r="H227" s="1" t="s">
        <v>19</v>
      </c>
      <c r="I227" s="1" t="s">
        <v>42</v>
      </c>
      <c r="J227" s="1">
        <v>3</v>
      </c>
      <c r="K227" s="3">
        <v>84.41</v>
      </c>
      <c r="L227" s="4">
        <v>0.03</v>
      </c>
      <c r="M227" s="3">
        <v>245.64</v>
      </c>
      <c r="N227" s="3">
        <v>15.39</v>
      </c>
    </row>
    <row r="228" spans="1:14" x14ac:dyDescent="0.45">
      <c r="A228" s="1" t="s">
        <v>294</v>
      </c>
      <c r="B228" s="2">
        <v>45002</v>
      </c>
      <c r="C228" s="1" t="s">
        <v>48</v>
      </c>
      <c r="D228" s="1" t="s">
        <v>91</v>
      </c>
      <c r="E228" s="1" t="s">
        <v>65</v>
      </c>
      <c r="F228" s="1" t="s">
        <v>17</v>
      </c>
      <c r="G228" s="1" t="s">
        <v>66</v>
      </c>
      <c r="H228" s="1" t="s">
        <v>26</v>
      </c>
      <c r="I228" s="1" t="s">
        <v>67</v>
      </c>
      <c r="J228" s="1">
        <v>4</v>
      </c>
      <c r="K228" s="3">
        <v>589.05999999999995</v>
      </c>
      <c r="L228" s="4">
        <v>0.05</v>
      </c>
      <c r="M228" s="3">
        <v>2238.4299999999998</v>
      </c>
      <c r="N228" s="3">
        <v>407.38</v>
      </c>
    </row>
    <row r="229" spans="1:14" x14ac:dyDescent="0.45">
      <c r="A229" s="1" t="s">
        <v>295</v>
      </c>
      <c r="B229" s="2">
        <v>45013</v>
      </c>
      <c r="C229" s="1" t="s">
        <v>48</v>
      </c>
      <c r="D229" s="1" t="s">
        <v>49</v>
      </c>
      <c r="E229" s="1" t="s">
        <v>23</v>
      </c>
      <c r="F229" s="1" t="s">
        <v>24</v>
      </c>
      <c r="G229" s="1" t="s">
        <v>66</v>
      </c>
      <c r="H229" s="1" t="s">
        <v>26</v>
      </c>
      <c r="I229" s="1" t="s">
        <v>35</v>
      </c>
      <c r="J229" s="1">
        <v>1</v>
      </c>
      <c r="K229" s="3">
        <v>307.35000000000002</v>
      </c>
      <c r="L229" s="4">
        <v>0</v>
      </c>
      <c r="M229" s="3">
        <v>307.35000000000002</v>
      </c>
      <c r="N229" s="3">
        <v>20.5</v>
      </c>
    </row>
    <row r="230" spans="1:14" x14ac:dyDescent="0.45">
      <c r="A230" s="1" t="s">
        <v>296</v>
      </c>
      <c r="B230" s="2">
        <v>44993</v>
      </c>
      <c r="C230" s="1" t="s">
        <v>48</v>
      </c>
      <c r="D230" s="1" t="s">
        <v>91</v>
      </c>
      <c r="E230" s="1" t="s">
        <v>106</v>
      </c>
      <c r="F230" s="1" t="s">
        <v>24</v>
      </c>
      <c r="G230" s="1" t="s">
        <v>46</v>
      </c>
      <c r="H230" s="1" t="s">
        <v>26</v>
      </c>
      <c r="I230" s="1" t="s">
        <v>35</v>
      </c>
      <c r="J230" s="1">
        <v>8</v>
      </c>
      <c r="K230" s="3">
        <v>523.54</v>
      </c>
      <c r="L230" s="4">
        <v>0.03</v>
      </c>
      <c r="M230" s="3">
        <v>4062.63</v>
      </c>
      <c r="N230" s="3">
        <v>784.06</v>
      </c>
    </row>
    <row r="231" spans="1:14" x14ac:dyDescent="0.45">
      <c r="A231" s="1" t="s">
        <v>297</v>
      </c>
      <c r="B231" s="2">
        <v>45014</v>
      </c>
      <c r="C231" s="1" t="s">
        <v>48</v>
      </c>
      <c r="D231" s="1" t="s">
        <v>78</v>
      </c>
      <c r="E231" s="1" t="s">
        <v>41</v>
      </c>
      <c r="F231" s="1" t="s">
        <v>24</v>
      </c>
      <c r="G231" s="1" t="s">
        <v>61</v>
      </c>
      <c r="H231" s="1" t="s">
        <v>51</v>
      </c>
      <c r="I231" s="1" t="s">
        <v>35</v>
      </c>
      <c r="J231" s="1">
        <v>4</v>
      </c>
      <c r="K231" s="3">
        <v>487.7</v>
      </c>
      <c r="L231" s="4">
        <v>0</v>
      </c>
      <c r="M231" s="3">
        <v>1950.81</v>
      </c>
      <c r="N231" s="3">
        <v>349</v>
      </c>
    </row>
    <row r="232" spans="1:14" x14ac:dyDescent="0.45">
      <c r="A232" s="1" t="s">
        <v>298</v>
      </c>
      <c r="B232" s="2">
        <v>44991</v>
      </c>
      <c r="C232" s="1" t="s">
        <v>14</v>
      </c>
      <c r="D232" s="1" t="s">
        <v>15</v>
      </c>
      <c r="E232" s="1" t="s">
        <v>53</v>
      </c>
      <c r="F232" s="1" t="s">
        <v>32</v>
      </c>
      <c r="G232" s="1" t="s">
        <v>61</v>
      </c>
      <c r="H232" s="1" t="s">
        <v>51</v>
      </c>
      <c r="I232" s="1" t="s">
        <v>27</v>
      </c>
      <c r="J232" s="1">
        <v>4</v>
      </c>
      <c r="K232" s="3">
        <v>87.22</v>
      </c>
      <c r="L232" s="4">
        <v>0.03</v>
      </c>
      <c r="M232" s="3">
        <v>338.4</v>
      </c>
      <c r="N232" s="3">
        <v>-11.03</v>
      </c>
    </row>
    <row r="233" spans="1:14" x14ac:dyDescent="0.45">
      <c r="A233" s="1" t="s">
        <v>299</v>
      </c>
      <c r="B233" s="2">
        <v>45013</v>
      </c>
      <c r="C233" s="1" t="s">
        <v>14</v>
      </c>
      <c r="D233" s="1" t="s">
        <v>22</v>
      </c>
      <c r="E233" s="1" t="s">
        <v>31</v>
      </c>
      <c r="F233" s="1" t="s">
        <v>32</v>
      </c>
      <c r="G233" s="1" t="s">
        <v>33</v>
      </c>
      <c r="H233" s="1" t="s">
        <v>34</v>
      </c>
      <c r="I233" s="1" t="s">
        <v>67</v>
      </c>
      <c r="J233" s="1">
        <v>7</v>
      </c>
      <c r="K233" s="3">
        <v>1399.55</v>
      </c>
      <c r="L233" s="4">
        <v>0</v>
      </c>
      <c r="M233" s="3">
        <v>9796.85</v>
      </c>
      <c r="N233" s="3">
        <v>1647.91</v>
      </c>
    </row>
    <row r="234" spans="1:14" x14ac:dyDescent="0.45">
      <c r="A234" s="1" t="s">
        <v>300</v>
      </c>
      <c r="B234" s="2">
        <v>45012</v>
      </c>
      <c r="C234" s="1" t="s">
        <v>29</v>
      </c>
      <c r="D234" s="1" t="s">
        <v>44</v>
      </c>
      <c r="E234" s="1" t="s">
        <v>65</v>
      </c>
      <c r="F234" s="1" t="s">
        <v>32</v>
      </c>
      <c r="G234" s="1" t="s">
        <v>54</v>
      </c>
      <c r="H234" s="1" t="s">
        <v>51</v>
      </c>
      <c r="I234" s="1" t="s">
        <v>39</v>
      </c>
      <c r="J234" s="1">
        <v>4</v>
      </c>
      <c r="K234" s="3">
        <v>35.409999999999997</v>
      </c>
      <c r="L234" s="4">
        <v>7.0000000000000007E-2</v>
      </c>
      <c r="M234" s="3">
        <v>131.72</v>
      </c>
      <c r="N234" s="3">
        <v>-28.42</v>
      </c>
    </row>
    <row r="235" spans="1:14" x14ac:dyDescent="0.45">
      <c r="A235" s="1" t="s">
        <v>301</v>
      </c>
      <c r="B235" s="2">
        <v>45005</v>
      </c>
      <c r="C235" s="1" t="s">
        <v>48</v>
      </c>
      <c r="D235" s="1" t="s">
        <v>49</v>
      </c>
      <c r="E235" s="1" t="s">
        <v>45</v>
      </c>
      <c r="F235" s="1" t="s">
        <v>17</v>
      </c>
      <c r="G235" s="1" t="s">
        <v>61</v>
      </c>
      <c r="H235" s="1" t="s">
        <v>51</v>
      </c>
      <c r="I235" s="1" t="s">
        <v>35</v>
      </c>
      <c r="J235" s="1">
        <v>5</v>
      </c>
      <c r="K235" s="3">
        <v>309.22000000000003</v>
      </c>
      <c r="L235" s="4">
        <v>0</v>
      </c>
      <c r="M235" s="3">
        <v>1546.11</v>
      </c>
      <c r="N235" s="3">
        <v>243.04</v>
      </c>
    </row>
    <row r="236" spans="1:14" x14ac:dyDescent="0.45">
      <c r="A236" s="1" t="s">
        <v>302</v>
      </c>
      <c r="B236" s="2">
        <v>44986</v>
      </c>
      <c r="C236" s="1" t="s">
        <v>29</v>
      </c>
      <c r="D236" s="1" t="s">
        <v>44</v>
      </c>
      <c r="E236" s="1" t="s">
        <v>92</v>
      </c>
      <c r="F236" s="1" t="s">
        <v>32</v>
      </c>
      <c r="G236" s="1" t="s">
        <v>66</v>
      </c>
      <c r="H236" s="1" t="s">
        <v>26</v>
      </c>
      <c r="I236" s="1" t="s">
        <v>20</v>
      </c>
      <c r="J236" s="1">
        <v>17</v>
      </c>
      <c r="K236" s="3">
        <v>31.84</v>
      </c>
      <c r="L236" s="4">
        <v>0</v>
      </c>
      <c r="M236" s="3">
        <v>541.23</v>
      </c>
      <c r="N236" s="3">
        <v>86.71</v>
      </c>
    </row>
    <row r="237" spans="1:14" x14ac:dyDescent="0.45">
      <c r="A237" s="1" t="s">
        <v>303</v>
      </c>
      <c r="B237" s="2">
        <v>45000</v>
      </c>
      <c r="C237" s="1" t="s">
        <v>29</v>
      </c>
      <c r="D237" s="1" t="s">
        <v>44</v>
      </c>
      <c r="E237" s="1" t="s">
        <v>60</v>
      </c>
      <c r="F237" s="1" t="s">
        <v>32</v>
      </c>
      <c r="G237" s="1" t="s">
        <v>74</v>
      </c>
      <c r="H237" s="1" t="s">
        <v>26</v>
      </c>
      <c r="I237" s="1" t="s">
        <v>39</v>
      </c>
      <c r="J237" s="1">
        <v>12</v>
      </c>
      <c r="K237" s="3">
        <v>27.67</v>
      </c>
      <c r="L237" s="4">
        <v>0.1</v>
      </c>
      <c r="M237" s="3">
        <v>298.81</v>
      </c>
      <c r="N237" s="3">
        <v>54.22</v>
      </c>
    </row>
    <row r="238" spans="1:14" x14ac:dyDescent="0.45">
      <c r="A238" s="1" t="s">
        <v>304</v>
      </c>
      <c r="B238" s="2">
        <v>45012</v>
      </c>
      <c r="C238" s="1" t="s">
        <v>48</v>
      </c>
      <c r="D238" s="1" t="s">
        <v>78</v>
      </c>
      <c r="E238" s="1" t="s">
        <v>69</v>
      </c>
      <c r="F238" s="1" t="s">
        <v>32</v>
      </c>
      <c r="G238" s="1" t="s">
        <v>25</v>
      </c>
      <c r="H238" s="1" t="s">
        <v>26</v>
      </c>
      <c r="I238" s="1" t="s">
        <v>20</v>
      </c>
      <c r="J238" s="1">
        <v>7</v>
      </c>
      <c r="K238" s="3">
        <v>490.21</v>
      </c>
      <c r="L238" s="4">
        <v>0.03</v>
      </c>
      <c r="M238" s="3">
        <v>3328.51</v>
      </c>
      <c r="N238" s="3">
        <v>754.78</v>
      </c>
    </row>
    <row r="239" spans="1:14" x14ac:dyDescent="0.45">
      <c r="A239" s="1" t="s">
        <v>305</v>
      </c>
      <c r="B239" s="2">
        <v>45019</v>
      </c>
      <c r="C239" s="1" t="s">
        <v>29</v>
      </c>
      <c r="D239" s="1" t="s">
        <v>44</v>
      </c>
      <c r="E239" s="1" t="s">
        <v>60</v>
      </c>
      <c r="F239" s="1" t="s">
        <v>32</v>
      </c>
      <c r="G239" s="1" t="s">
        <v>18</v>
      </c>
      <c r="H239" s="1" t="s">
        <v>19</v>
      </c>
      <c r="I239" s="1" t="s">
        <v>27</v>
      </c>
      <c r="J239" s="1">
        <v>8</v>
      </c>
      <c r="K239" s="3">
        <v>30.07</v>
      </c>
      <c r="L239" s="4">
        <v>7.0000000000000007E-2</v>
      </c>
      <c r="M239" s="3">
        <v>223.75</v>
      </c>
      <c r="N239" s="3">
        <v>-11.2</v>
      </c>
    </row>
    <row r="240" spans="1:14" x14ac:dyDescent="0.45">
      <c r="A240" s="1" t="s">
        <v>306</v>
      </c>
      <c r="B240" s="2">
        <v>45030</v>
      </c>
      <c r="C240" s="1" t="s">
        <v>48</v>
      </c>
      <c r="D240" s="1" t="s">
        <v>91</v>
      </c>
      <c r="E240" s="1" t="s">
        <v>89</v>
      </c>
      <c r="F240" s="1" t="s">
        <v>32</v>
      </c>
      <c r="G240" s="1" t="s">
        <v>25</v>
      </c>
      <c r="H240" s="1" t="s">
        <v>26</v>
      </c>
      <c r="I240" s="1" t="s">
        <v>42</v>
      </c>
      <c r="J240" s="1">
        <v>2</v>
      </c>
      <c r="K240" s="3">
        <v>593.12</v>
      </c>
      <c r="L240" s="4">
        <v>0.05</v>
      </c>
      <c r="M240" s="3">
        <v>1126.92</v>
      </c>
      <c r="N240" s="3">
        <v>207.56</v>
      </c>
    </row>
    <row r="241" spans="1:14" x14ac:dyDescent="0.45">
      <c r="A241" s="1" t="s">
        <v>307</v>
      </c>
      <c r="B241" s="2">
        <v>45036</v>
      </c>
      <c r="C241" s="1" t="s">
        <v>14</v>
      </c>
      <c r="D241" s="1" t="s">
        <v>80</v>
      </c>
      <c r="E241" s="1" t="s">
        <v>31</v>
      </c>
      <c r="F241" s="1" t="s">
        <v>32</v>
      </c>
      <c r="G241" s="1" t="s">
        <v>33</v>
      </c>
      <c r="H241" s="1" t="s">
        <v>34</v>
      </c>
      <c r="I241" s="1" t="s">
        <v>27</v>
      </c>
      <c r="J241" s="1">
        <v>8</v>
      </c>
      <c r="K241" s="3">
        <v>439.01</v>
      </c>
      <c r="L241" s="4">
        <v>0.05</v>
      </c>
      <c r="M241" s="3">
        <v>3336.46</v>
      </c>
      <c r="N241" s="3">
        <v>688.95</v>
      </c>
    </row>
    <row r="242" spans="1:14" x14ac:dyDescent="0.45">
      <c r="A242" s="1" t="s">
        <v>308</v>
      </c>
      <c r="B242" s="2">
        <v>45044</v>
      </c>
      <c r="C242" s="1" t="s">
        <v>48</v>
      </c>
      <c r="D242" s="1" t="s">
        <v>49</v>
      </c>
      <c r="E242" s="1" t="s">
        <v>73</v>
      </c>
      <c r="F242" s="1" t="s">
        <v>24</v>
      </c>
      <c r="G242" s="1" t="s">
        <v>46</v>
      </c>
      <c r="H242" s="1" t="s">
        <v>26</v>
      </c>
      <c r="I242" s="1" t="s">
        <v>42</v>
      </c>
      <c r="J242" s="1">
        <v>2</v>
      </c>
      <c r="K242" s="3">
        <v>282.17</v>
      </c>
      <c r="L242" s="4">
        <v>0</v>
      </c>
      <c r="M242" s="3">
        <v>564.33000000000004</v>
      </c>
      <c r="N242" s="3">
        <v>80.44</v>
      </c>
    </row>
    <row r="243" spans="1:14" x14ac:dyDescent="0.45">
      <c r="A243" s="1" t="s">
        <v>309</v>
      </c>
      <c r="B243" s="2">
        <v>45043</v>
      </c>
      <c r="C243" s="1" t="s">
        <v>14</v>
      </c>
      <c r="D243" s="1" t="s">
        <v>15</v>
      </c>
      <c r="E243" s="1" t="s">
        <v>53</v>
      </c>
      <c r="F243" s="1" t="s">
        <v>32</v>
      </c>
      <c r="G243" s="1" t="s">
        <v>61</v>
      </c>
      <c r="H243" s="1" t="s">
        <v>51</v>
      </c>
      <c r="I243" s="1" t="s">
        <v>27</v>
      </c>
      <c r="J243" s="1">
        <v>2</v>
      </c>
      <c r="K243" s="3">
        <v>90.23</v>
      </c>
      <c r="L243" s="4">
        <v>0</v>
      </c>
      <c r="M243" s="3">
        <v>180.47</v>
      </c>
      <c r="N243" s="3">
        <v>-29.44</v>
      </c>
    </row>
    <row r="244" spans="1:14" x14ac:dyDescent="0.45">
      <c r="A244" s="1" t="s">
        <v>310</v>
      </c>
      <c r="B244" s="2">
        <v>45019</v>
      </c>
      <c r="C244" s="1" t="s">
        <v>48</v>
      </c>
      <c r="D244" s="1" t="s">
        <v>78</v>
      </c>
      <c r="E244" s="1" t="s">
        <v>89</v>
      </c>
      <c r="F244" s="1" t="s">
        <v>32</v>
      </c>
      <c r="G244" s="1" t="s">
        <v>25</v>
      </c>
      <c r="H244" s="1" t="s">
        <v>26</v>
      </c>
      <c r="I244" s="1" t="s">
        <v>39</v>
      </c>
      <c r="J244" s="1">
        <v>8</v>
      </c>
      <c r="K244" s="3">
        <v>487.43</v>
      </c>
      <c r="L244" s="4">
        <v>7.0000000000000007E-2</v>
      </c>
      <c r="M244" s="3">
        <v>3626.45</v>
      </c>
      <c r="N244" s="3">
        <v>872.04</v>
      </c>
    </row>
    <row r="245" spans="1:14" x14ac:dyDescent="0.45">
      <c r="A245" s="1" t="s">
        <v>311</v>
      </c>
      <c r="B245" s="2">
        <v>45040</v>
      </c>
      <c r="C245" s="1" t="s">
        <v>29</v>
      </c>
      <c r="D245" s="1" t="s">
        <v>30</v>
      </c>
      <c r="E245" s="1" t="s">
        <v>31</v>
      </c>
      <c r="F245" s="1" t="s">
        <v>17</v>
      </c>
      <c r="G245" s="1" t="s">
        <v>18</v>
      </c>
      <c r="H245" s="1" t="s">
        <v>19</v>
      </c>
      <c r="I245" s="1" t="s">
        <v>27</v>
      </c>
      <c r="J245" s="1">
        <v>6</v>
      </c>
      <c r="K245" s="3">
        <v>46.72</v>
      </c>
      <c r="L245" s="4">
        <v>0.03</v>
      </c>
      <c r="M245" s="3">
        <v>271.91000000000003</v>
      </c>
      <c r="N245" s="3">
        <v>23.43</v>
      </c>
    </row>
    <row r="246" spans="1:14" x14ac:dyDescent="0.45">
      <c r="A246" s="1" t="s">
        <v>312</v>
      </c>
      <c r="B246" s="2">
        <v>45019</v>
      </c>
      <c r="C246" s="1" t="s">
        <v>29</v>
      </c>
      <c r="D246" s="1" t="s">
        <v>44</v>
      </c>
      <c r="E246" s="1" t="s">
        <v>89</v>
      </c>
      <c r="F246" s="1" t="s">
        <v>24</v>
      </c>
      <c r="G246" s="1" t="s">
        <v>66</v>
      </c>
      <c r="H246" s="1" t="s">
        <v>26</v>
      </c>
      <c r="I246" s="1" t="s">
        <v>42</v>
      </c>
      <c r="J246" s="1">
        <v>16</v>
      </c>
      <c r="K246" s="3">
        <v>31.26</v>
      </c>
      <c r="L246" s="4">
        <v>0.03</v>
      </c>
      <c r="M246" s="3">
        <v>485.23</v>
      </c>
      <c r="N246" s="3">
        <v>29.2</v>
      </c>
    </row>
    <row r="247" spans="1:14" x14ac:dyDescent="0.45">
      <c r="A247" s="1" t="s">
        <v>313</v>
      </c>
      <c r="B247" s="2">
        <v>45037</v>
      </c>
      <c r="C247" s="1" t="s">
        <v>29</v>
      </c>
      <c r="D247" s="1" t="s">
        <v>37</v>
      </c>
      <c r="E247" s="1" t="s">
        <v>45</v>
      </c>
      <c r="F247" s="1" t="s">
        <v>24</v>
      </c>
      <c r="G247" s="1" t="s">
        <v>66</v>
      </c>
      <c r="H247" s="1" t="s">
        <v>26</v>
      </c>
      <c r="I247" s="1" t="s">
        <v>20</v>
      </c>
      <c r="J247" s="1">
        <v>18</v>
      </c>
      <c r="K247" s="3">
        <v>82.02</v>
      </c>
      <c r="L247" s="4">
        <v>0</v>
      </c>
      <c r="M247" s="3">
        <v>1476.44</v>
      </c>
      <c r="N247" s="3">
        <v>263.66000000000003</v>
      </c>
    </row>
    <row r="248" spans="1:14" x14ac:dyDescent="0.45">
      <c r="A248" s="1" t="s">
        <v>314</v>
      </c>
      <c r="B248" s="2">
        <v>45043</v>
      </c>
      <c r="C248" s="1" t="s">
        <v>14</v>
      </c>
      <c r="D248" s="1" t="s">
        <v>80</v>
      </c>
      <c r="E248" s="1" t="s">
        <v>45</v>
      </c>
      <c r="F248" s="1" t="s">
        <v>24</v>
      </c>
      <c r="G248" s="1" t="s">
        <v>33</v>
      </c>
      <c r="H248" s="1" t="s">
        <v>34</v>
      </c>
      <c r="I248" s="1" t="s">
        <v>42</v>
      </c>
      <c r="J248" s="1">
        <v>7</v>
      </c>
      <c r="K248" s="3">
        <v>405.1</v>
      </c>
      <c r="L248" s="4">
        <v>0.1</v>
      </c>
      <c r="M248" s="3">
        <v>2552.13</v>
      </c>
      <c r="N248" s="3">
        <v>552.75</v>
      </c>
    </row>
    <row r="249" spans="1:14" x14ac:dyDescent="0.45">
      <c r="A249" s="1" t="s">
        <v>315</v>
      </c>
      <c r="B249" s="2">
        <v>45037</v>
      </c>
      <c r="C249" s="1" t="s">
        <v>29</v>
      </c>
      <c r="D249" s="1" t="s">
        <v>44</v>
      </c>
      <c r="E249" s="1" t="s">
        <v>95</v>
      </c>
      <c r="F249" s="1" t="s">
        <v>17</v>
      </c>
      <c r="G249" s="1" t="s">
        <v>54</v>
      </c>
      <c r="H249" s="1" t="s">
        <v>51</v>
      </c>
      <c r="I249" s="1" t="s">
        <v>35</v>
      </c>
      <c r="J249" s="1">
        <v>4</v>
      </c>
      <c r="K249" s="3">
        <v>35.409999999999997</v>
      </c>
      <c r="L249" s="4">
        <v>7.0000000000000007E-2</v>
      </c>
      <c r="M249" s="3">
        <v>131.74</v>
      </c>
      <c r="N249" s="3">
        <v>-4.32</v>
      </c>
    </row>
    <row r="250" spans="1:14" x14ac:dyDescent="0.45">
      <c r="A250" s="1" t="s">
        <v>316</v>
      </c>
      <c r="B250" s="2">
        <v>45037</v>
      </c>
      <c r="C250" s="1" t="s">
        <v>14</v>
      </c>
      <c r="D250" s="1" t="s">
        <v>80</v>
      </c>
      <c r="E250" s="1" t="s">
        <v>23</v>
      </c>
      <c r="F250" s="1" t="s">
        <v>24</v>
      </c>
      <c r="G250" s="1" t="s">
        <v>57</v>
      </c>
      <c r="H250" s="1" t="s">
        <v>51</v>
      </c>
      <c r="I250" s="1" t="s">
        <v>35</v>
      </c>
      <c r="J250" s="1">
        <v>7</v>
      </c>
      <c r="K250" s="3">
        <v>347.83</v>
      </c>
      <c r="L250" s="4">
        <v>7.0000000000000007E-2</v>
      </c>
      <c r="M250" s="3">
        <v>2264.35</v>
      </c>
      <c r="N250" s="3">
        <v>365.38</v>
      </c>
    </row>
    <row r="251" spans="1:14" x14ac:dyDescent="0.45">
      <c r="A251" s="1" t="s">
        <v>317</v>
      </c>
      <c r="B251" s="2">
        <v>45023</v>
      </c>
      <c r="C251" s="1" t="s">
        <v>48</v>
      </c>
      <c r="D251" s="1" t="s">
        <v>49</v>
      </c>
      <c r="E251" s="1" t="s">
        <v>104</v>
      </c>
      <c r="F251" s="1" t="s">
        <v>24</v>
      </c>
      <c r="G251" s="1" t="s">
        <v>18</v>
      </c>
      <c r="H251" s="1" t="s">
        <v>19</v>
      </c>
      <c r="I251" s="1" t="s">
        <v>27</v>
      </c>
      <c r="J251" s="1">
        <v>3</v>
      </c>
      <c r="K251" s="3">
        <v>299.58</v>
      </c>
      <c r="L251" s="4">
        <v>0</v>
      </c>
      <c r="M251" s="3">
        <v>898.74</v>
      </c>
      <c r="N251" s="3">
        <v>158.4</v>
      </c>
    </row>
    <row r="252" spans="1:14" x14ac:dyDescent="0.45">
      <c r="A252" s="1" t="s">
        <v>318</v>
      </c>
      <c r="B252" s="2">
        <v>45026</v>
      </c>
      <c r="C252" s="1" t="s">
        <v>48</v>
      </c>
      <c r="D252" s="1" t="s">
        <v>91</v>
      </c>
      <c r="E252" s="1" t="s">
        <v>104</v>
      </c>
      <c r="F252" s="1" t="s">
        <v>17</v>
      </c>
      <c r="G252" s="1" t="s">
        <v>61</v>
      </c>
      <c r="H252" s="1" t="s">
        <v>51</v>
      </c>
      <c r="I252" s="1" t="s">
        <v>67</v>
      </c>
      <c r="J252" s="1">
        <v>7</v>
      </c>
      <c r="K252" s="3">
        <v>578.30999999999995</v>
      </c>
      <c r="L252" s="4">
        <v>0.05</v>
      </c>
      <c r="M252" s="3">
        <v>3845.77</v>
      </c>
      <c r="N252" s="3">
        <v>730.54</v>
      </c>
    </row>
    <row r="253" spans="1:14" x14ac:dyDescent="0.45">
      <c r="A253" s="1" t="s">
        <v>319</v>
      </c>
      <c r="B253" s="2">
        <v>45019</v>
      </c>
      <c r="C253" s="1" t="s">
        <v>48</v>
      </c>
      <c r="D253" s="1" t="s">
        <v>49</v>
      </c>
      <c r="E253" s="1" t="s">
        <v>65</v>
      </c>
      <c r="F253" s="1" t="s">
        <v>17</v>
      </c>
      <c r="G253" s="1" t="s">
        <v>57</v>
      </c>
      <c r="H253" s="1" t="s">
        <v>51</v>
      </c>
      <c r="I253" s="1" t="s">
        <v>20</v>
      </c>
      <c r="J253" s="1">
        <v>6</v>
      </c>
      <c r="K253" s="3">
        <v>306.02</v>
      </c>
      <c r="L253" s="4">
        <v>7.0000000000000007E-2</v>
      </c>
      <c r="M253" s="3">
        <v>1707.58</v>
      </c>
      <c r="N253" s="3">
        <v>283.47000000000003</v>
      </c>
    </row>
    <row r="254" spans="1:14" x14ac:dyDescent="0.45">
      <c r="A254" s="1" t="s">
        <v>320</v>
      </c>
      <c r="B254" s="2">
        <v>45068</v>
      </c>
      <c r="C254" s="1" t="s">
        <v>14</v>
      </c>
      <c r="D254" s="1" t="s">
        <v>22</v>
      </c>
      <c r="E254" s="1" t="s">
        <v>73</v>
      </c>
      <c r="F254" s="1" t="s">
        <v>24</v>
      </c>
      <c r="G254" s="1" t="s">
        <v>61</v>
      </c>
      <c r="H254" s="1" t="s">
        <v>51</v>
      </c>
      <c r="I254" s="1" t="s">
        <v>42</v>
      </c>
      <c r="J254" s="1">
        <v>8</v>
      </c>
      <c r="K254" s="3">
        <v>1429.09</v>
      </c>
      <c r="L254" s="4">
        <v>0.05</v>
      </c>
      <c r="M254" s="3">
        <v>10861.07</v>
      </c>
      <c r="N254" s="3">
        <v>1805.24</v>
      </c>
    </row>
    <row r="255" spans="1:14" x14ac:dyDescent="0.45">
      <c r="A255" s="1" t="s">
        <v>321</v>
      </c>
      <c r="B255" s="2">
        <v>45071</v>
      </c>
      <c r="C255" s="1" t="s">
        <v>14</v>
      </c>
      <c r="D255" s="1" t="s">
        <v>22</v>
      </c>
      <c r="E255" s="1" t="s">
        <v>106</v>
      </c>
      <c r="F255" s="1" t="s">
        <v>17</v>
      </c>
      <c r="G255" s="1" t="s">
        <v>74</v>
      </c>
      <c r="H255" s="1" t="s">
        <v>26</v>
      </c>
      <c r="I255" s="1" t="s">
        <v>35</v>
      </c>
      <c r="J255" s="1">
        <v>1</v>
      </c>
      <c r="K255" s="3">
        <v>1269.8699999999999</v>
      </c>
      <c r="L255" s="4">
        <v>7.0000000000000007E-2</v>
      </c>
      <c r="M255" s="3">
        <v>1180.98</v>
      </c>
      <c r="N255" s="3">
        <v>81.23</v>
      </c>
    </row>
    <row r="256" spans="1:14" x14ac:dyDescent="0.45">
      <c r="A256" s="1" t="s">
        <v>322</v>
      </c>
      <c r="B256" s="2">
        <v>45048</v>
      </c>
      <c r="C256" s="1" t="s">
        <v>48</v>
      </c>
      <c r="D256" s="1" t="s">
        <v>91</v>
      </c>
      <c r="E256" s="1" t="s">
        <v>23</v>
      </c>
      <c r="F256" s="1" t="s">
        <v>17</v>
      </c>
      <c r="G256" s="1" t="s">
        <v>50</v>
      </c>
      <c r="H256" s="1" t="s">
        <v>51</v>
      </c>
      <c r="I256" s="1" t="s">
        <v>67</v>
      </c>
      <c r="J256" s="1">
        <v>2</v>
      </c>
      <c r="K256" s="3">
        <v>555.23</v>
      </c>
      <c r="L256" s="4">
        <v>7.0000000000000007E-2</v>
      </c>
      <c r="M256" s="3">
        <v>1032.72</v>
      </c>
      <c r="N256" s="3">
        <v>174.57</v>
      </c>
    </row>
    <row r="257" spans="1:14" x14ac:dyDescent="0.45">
      <c r="A257" s="1" t="s">
        <v>323</v>
      </c>
      <c r="B257" s="2">
        <v>45049</v>
      </c>
      <c r="C257" s="1" t="s">
        <v>48</v>
      </c>
      <c r="D257" s="1" t="s">
        <v>91</v>
      </c>
      <c r="E257" s="1" t="s">
        <v>95</v>
      </c>
      <c r="F257" s="1" t="s">
        <v>32</v>
      </c>
      <c r="G257" s="1" t="s">
        <v>50</v>
      </c>
      <c r="H257" s="1" t="s">
        <v>51</v>
      </c>
      <c r="I257" s="1" t="s">
        <v>27</v>
      </c>
      <c r="J257" s="1">
        <v>4</v>
      </c>
      <c r="K257" s="3">
        <v>557.6</v>
      </c>
      <c r="L257" s="4">
        <v>0</v>
      </c>
      <c r="M257" s="3">
        <v>2230.39</v>
      </c>
      <c r="N257" s="3">
        <v>382.05</v>
      </c>
    </row>
    <row r="258" spans="1:14" x14ac:dyDescent="0.45">
      <c r="A258" s="1" t="s">
        <v>324</v>
      </c>
      <c r="B258" s="2">
        <v>45051</v>
      </c>
      <c r="C258" s="1" t="s">
        <v>29</v>
      </c>
      <c r="D258" s="1" t="s">
        <v>30</v>
      </c>
      <c r="E258" s="1" t="s">
        <v>95</v>
      </c>
      <c r="F258" s="1" t="s">
        <v>24</v>
      </c>
      <c r="G258" s="1" t="s">
        <v>25</v>
      </c>
      <c r="H258" s="1" t="s">
        <v>26</v>
      </c>
      <c r="I258" s="1" t="s">
        <v>67</v>
      </c>
      <c r="J258" s="1">
        <v>13</v>
      </c>
      <c r="K258" s="3">
        <v>53.16</v>
      </c>
      <c r="L258" s="4">
        <v>7.0000000000000007E-2</v>
      </c>
      <c r="M258" s="3">
        <v>642.74</v>
      </c>
      <c r="N258" s="3">
        <v>95.43</v>
      </c>
    </row>
    <row r="259" spans="1:14" x14ac:dyDescent="0.45">
      <c r="A259" s="1" t="s">
        <v>325</v>
      </c>
      <c r="B259" s="2">
        <v>45058</v>
      </c>
      <c r="C259" s="1" t="s">
        <v>14</v>
      </c>
      <c r="D259" s="1" t="s">
        <v>22</v>
      </c>
      <c r="E259" s="1" t="s">
        <v>87</v>
      </c>
      <c r="F259" s="1" t="s">
        <v>32</v>
      </c>
      <c r="G259" s="1" t="s">
        <v>54</v>
      </c>
      <c r="H259" s="1" t="s">
        <v>51</v>
      </c>
      <c r="I259" s="1" t="s">
        <v>67</v>
      </c>
      <c r="J259" s="1">
        <v>5</v>
      </c>
      <c r="K259" s="3">
        <v>1632.8</v>
      </c>
      <c r="L259" s="4">
        <v>0</v>
      </c>
      <c r="M259" s="3">
        <v>8163.98</v>
      </c>
      <c r="N259" s="3">
        <v>1274.8</v>
      </c>
    </row>
    <row r="260" spans="1:14" x14ac:dyDescent="0.45">
      <c r="A260" s="1" t="s">
        <v>326</v>
      </c>
      <c r="B260" s="2">
        <v>45056</v>
      </c>
      <c r="C260" s="1" t="s">
        <v>48</v>
      </c>
      <c r="D260" s="1" t="s">
        <v>91</v>
      </c>
      <c r="E260" s="1" t="s">
        <v>63</v>
      </c>
      <c r="F260" s="1" t="s">
        <v>17</v>
      </c>
      <c r="G260" s="1" t="s">
        <v>50</v>
      </c>
      <c r="H260" s="1" t="s">
        <v>51</v>
      </c>
      <c r="I260" s="1" t="s">
        <v>39</v>
      </c>
      <c r="J260" s="1">
        <v>1</v>
      </c>
      <c r="K260" s="3">
        <v>612.85</v>
      </c>
      <c r="L260" s="4">
        <v>0.1</v>
      </c>
      <c r="M260" s="3">
        <v>551.55999999999995</v>
      </c>
      <c r="N260" s="3">
        <v>-30.05</v>
      </c>
    </row>
    <row r="261" spans="1:14" x14ac:dyDescent="0.45">
      <c r="A261" s="1" t="s">
        <v>327</v>
      </c>
      <c r="B261" s="2">
        <v>45065</v>
      </c>
      <c r="C261" s="1" t="s">
        <v>14</v>
      </c>
      <c r="D261" s="1" t="s">
        <v>15</v>
      </c>
      <c r="E261" s="1" t="s">
        <v>16</v>
      </c>
      <c r="F261" s="1" t="s">
        <v>24</v>
      </c>
      <c r="G261" s="1" t="s">
        <v>46</v>
      </c>
      <c r="H261" s="1" t="s">
        <v>26</v>
      </c>
      <c r="I261" s="1" t="s">
        <v>39</v>
      </c>
      <c r="J261" s="1">
        <v>17</v>
      </c>
      <c r="K261" s="3">
        <v>85.59</v>
      </c>
      <c r="L261" s="4">
        <v>0.1</v>
      </c>
      <c r="M261" s="3">
        <v>1309.5899999999999</v>
      </c>
      <c r="N261" s="3">
        <v>299.52999999999997</v>
      </c>
    </row>
    <row r="262" spans="1:14" x14ac:dyDescent="0.45">
      <c r="A262" s="1" t="s">
        <v>328</v>
      </c>
      <c r="B262" s="2">
        <v>45071</v>
      </c>
      <c r="C262" s="1" t="s">
        <v>14</v>
      </c>
      <c r="D262" s="1" t="s">
        <v>15</v>
      </c>
      <c r="E262" s="1" t="s">
        <v>60</v>
      </c>
      <c r="F262" s="1" t="s">
        <v>24</v>
      </c>
      <c r="G262" s="1" t="s">
        <v>66</v>
      </c>
      <c r="H262" s="1" t="s">
        <v>26</v>
      </c>
      <c r="I262" s="1" t="s">
        <v>42</v>
      </c>
      <c r="J262" s="1">
        <v>10</v>
      </c>
      <c r="K262" s="3">
        <v>102.98</v>
      </c>
      <c r="L262" s="4">
        <v>0.03</v>
      </c>
      <c r="M262" s="3">
        <v>998.91</v>
      </c>
      <c r="N262" s="3">
        <v>219.47</v>
      </c>
    </row>
    <row r="263" spans="1:14" x14ac:dyDescent="0.45">
      <c r="A263" s="1" t="s">
        <v>329</v>
      </c>
      <c r="B263" s="2">
        <v>45055</v>
      </c>
      <c r="C263" s="1" t="s">
        <v>14</v>
      </c>
      <c r="D263" s="1" t="s">
        <v>15</v>
      </c>
      <c r="E263" s="1" t="s">
        <v>89</v>
      </c>
      <c r="F263" s="1" t="s">
        <v>24</v>
      </c>
      <c r="G263" s="1" t="s">
        <v>66</v>
      </c>
      <c r="H263" s="1" t="s">
        <v>26</v>
      </c>
      <c r="I263" s="1" t="s">
        <v>42</v>
      </c>
      <c r="J263" s="1">
        <v>13</v>
      </c>
      <c r="K263" s="3">
        <v>105.14</v>
      </c>
      <c r="L263" s="4">
        <v>7.0000000000000007E-2</v>
      </c>
      <c r="M263" s="3">
        <v>1271.1500000000001</v>
      </c>
      <c r="N263" s="3">
        <v>239.66</v>
      </c>
    </row>
    <row r="264" spans="1:14" x14ac:dyDescent="0.45">
      <c r="A264" s="1" t="s">
        <v>330</v>
      </c>
      <c r="B264" s="2">
        <v>45048</v>
      </c>
      <c r="C264" s="1" t="s">
        <v>29</v>
      </c>
      <c r="D264" s="1" t="s">
        <v>44</v>
      </c>
      <c r="E264" s="1" t="s">
        <v>65</v>
      </c>
      <c r="F264" s="1" t="s">
        <v>32</v>
      </c>
      <c r="G264" s="1" t="s">
        <v>46</v>
      </c>
      <c r="H264" s="1" t="s">
        <v>26</v>
      </c>
      <c r="I264" s="1" t="s">
        <v>67</v>
      </c>
      <c r="J264" s="1">
        <v>6</v>
      </c>
      <c r="K264" s="3">
        <v>29.94</v>
      </c>
      <c r="L264" s="4">
        <v>0.05</v>
      </c>
      <c r="M264" s="3">
        <v>170.65</v>
      </c>
      <c r="N264" s="3">
        <v>-17</v>
      </c>
    </row>
    <row r="265" spans="1:14" x14ac:dyDescent="0.45">
      <c r="A265" s="1" t="s">
        <v>331</v>
      </c>
      <c r="B265" s="2">
        <v>45051</v>
      </c>
      <c r="C265" s="1" t="s">
        <v>14</v>
      </c>
      <c r="D265" s="1" t="s">
        <v>22</v>
      </c>
      <c r="E265" s="1" t="s">
        <v>106</v>
      </c>
      <c r="F265" s="1" t="s">
        <v>17</v>
      </c>
      <c r="G265" s="1" t="s">
        <v>57</v>
      </c>
      <c r="H265" s="1" t="s">
        <v>51</v>
      </c>
      <c r="I265" s="1" t="s">
        <v>20</v>
      </c>
      <c r="J265" s="1">
        <v>8</v>
      </c>
      <c r="K265" s="3">
        <v>1289.31</v>
      </c>
      <c r="L265" s="4">
        <v>0.05</v>
      </c>
      <c r="M265" s="3">
        <v>9798.73</v>
      </c>
      <c r="N265" s="3">
        <v>1446.06</v>
      </c>
    </row>
    <row r="266" spans="1:14" x14ac:dyDescent="0.45">
      <c r="A266" s="1" t="s">
        <v>332</v>
      </c>
      <c r="B266" s="2">
        <v>45048</v>
      </c>
      <c r="C266" s="1" t="s">
        <v>48</v>
      </c>
      <c r="D266" s="1" t="s">
        <v>91</v>
      </c>
      <c r="E266" s="1" t="s">
        <v>81</v>
      </c>
      <c r="F266" s="1" t="s">
        <v>17</v>
      </c>
      <c r="G266" s="1" t="s">
        <v>33</v>
      </c>
      <c r="H266" s="1" t="s">
        <v>34</v>
      </c>
      <c r="I266" s="1" t="s">
        <v>42</v>
      </c>
      <c r="J266" s="1">
        <v>6</v>
      </c>
      <c r="K266" s="3">
        <v>625.12</v>
      </c>
      <c r="L266" s="4">
        <v>0.03</v>
      </c>
      <c r="M266" s="3">
        <v>3638.2</v>
      </c>
      <c r="N266" s="3">
        <v>700.07</v>
      </c>
    </row>
    <row r="267" spans="1:14" x14ac:dyDescent="0.45">
      <c r="A267" s="1" t="s">
        <v>333</v>
      </c>
      <c r="B267" s="2">
        <v>45071</v>
      </c>
      <c r="C267" s="1" t="s">
        <v>29</v>
      </c>
      <c r="D267" s="1" t="s">
        <v>37</v>
      </c>
      <c r="E267" s="1" t="s">
        <v>16</v>
      </c>
      <c r="F267" s="1" t="s">
        <v>32</v>
      </c>
      <c r="G267" s="1" t="s">
        <v>18</v>
      </c>
      <c r="H267" s="1" t="s">
        <v>19</v>
      </c>
      <c r="I267" s="1" t="s">
        <v>42</v>
      </c>
      <c r="J267" s="1">
        <v>4</v>
      </c>
      <c r="K267" s="3">
        <v>84.24</v>
      </c>
      <c r="L267" s="4">
        <v>0</v>
      </c>
      <c r="M267" s="3">
        <v>336.95</v>
      </c>
      <c r="N267" s="3">
        <v>49.86</v>
      </c>
    </row>
    <row r="268" spans="1:14" x14ac:dyDescent="0.45">
      <c r="A268" s="1" t="s">
        <v>334</v>
      </c>
      <c r="B268" s="2">
        <v>45056</v>
      </c>
      <c r="C268" s="1" t="s">
        <v>14</v>
      </c>
      <c r="D268" s="1" t="s">
        <v>15</v>
      </c>
      <c r="E268" s="1" t="s">
        <v>106</v>
      </c>
      <c r="F268" s="1" t="s">
        <v>17</v>
      </c>
      <c r="G268" s="1" t="s">
        <v>57</v>
      </c>
      <c r="H268" s="1" t="s">
        <v>51</v>
      </c>
      <c r="I268" s="1" t="s">
        <v>42</v>
      </c>
      <c r="J268" s="1">
        <v>12</v>
      </c>
      <c r="K268" s="3">
        <v>92.08</v>
      </c>
      <c r="L268" s="4">
        <v>0.05</v>
      </c>
      <c r="M268" s="3">
        <v>1049.73</v>
      </c>
      <c r="N268" s="3">
        <v>258.56</v>
      </c>
    </row>
    <row r="269" spans="1:14" x14ac:dyDescent="0.45">
      <c r="A269" s="1" t="s">
        <v>335</v>
      </c>
      <c r="B269" s="2">
        <v>45049</v>
      </c>
      <c r="C269" s="1" t="s">
        <v>29</v>
      </c>
      <c r="D269" s="1" t="s">
        <v>30</v>
      </c>
      <c r="E269" s="1" t="s">
        <v>63</v>
      </c>
      <c r="F269" s="1" t="s">
        <v>32</v>
      </c>
      <c r="G269" s="1" t="s">
        <v>66</v>
      </c>
      <c r="H269" s="1" t="s">
        <v>26</v>
      </c>
      <c r="I269" s="1" t="s">
        <v>35</v>
      </c>
      <c r="J269" s="1">
        <v>11</v>
      </c>
      <c r="K269" s="3">
        <v>50.42</v>
      </c>
      <c r="L269" s="4">
        <v>0</v>
      </c>
      <c r="M269" s="3">
        <v>554.58000000000004</v>
      </c>
      <c r="N269" s="3">
        <v>54.72</v>
      </c>
    </row>
    <row r="270" spans="1:14" x14ac:dyDescent="0.45">
      <c r="A270" s="1" t="s">
        <v>336</v>
      </c>
      <c r="B270" s="2">
        <v>45064</v>
      </c>
      <c r="C270" s="1" t="s">
        <v>48</v>
      </c>
      <c r="D270" s="1" t="s">
        <v>78</v>
      </c>
      <c r="E270" s="1" t="s">
        <v>104</v>
      </c>
      <c r="F270" s="1" t="s">
        <v>24</v>
      </c>
      <c r="G270" s="1" t="s">
        <v>54</v>
      </c>
      <c r="H270" s="1" t="s">
        <v>51</v>
      </c>
      <c r="I270" s="1" t="s">
        <v>20</v>
      </c>
      <c r="J270" s="1">
        <v>8</v>
      </c>
      <c r="K270" s="3">
        <v>542.80999999999995</v>
      </c>
      <c r="L270" s="4">
        <v>0</v>
      </c>
      <c r="M270" s="3">
        <v>4342.46</v>
      </c>
      <c r="N270" s="3">
        <v>1028.1300000000001</v>
      </c>
    </row>
    <row r="271" spans="1:14" x14ac:dyDescent="0.45">
      <c r="A271" s="1" t="s">
        <v>337</v>
      </c>
      <c r="B271" s="2">
        <v>45090</v>
      </c>
      <c r="C271" s="1" t="s">
        <v>14</v>
      </c>
      <c r="D271" s="1" t="s">
        <v>22</v>
      </c>
      <c r="E271" s="1" t="s">
        <v>56</v>
      </c>
      <c r="F271" s="1" t="s">
        <v>17</v>
      </c>
      <c r="G271" s="1" t="s">
        <v>66</v>
      </c>
      <c r="H271" s="1" t="s">
        <v>26</v>
      </c>
      <c r="I271" s="1" t="s">
        <v>67</v>
      </c>
      <c r="J271" s="1">
        <v>7</v>
      </c>
      <c r="K271" s="3">
        <v>1472.32</v>
      </c>
      <c r="L271" s="4">
        <v>0.05</v>
      </c>
      <c r="M271" s="3">
        <v>9790.9500000000007</v>
      </c>
      <c r="N271" s="3">
        <v>1606.79</v>
      </c>
    </row>
    <row r="272" spans="1:14" x14ac:dyDescent="0.45">
      <c r="A272" s="1" t="s">
        <v>338</v>
      </c>
      <c r="B272" s="2">
        <v>45091</v>
      </c>
      <c r="C272" s="1" t="s">
        <v>48</v>
      </c>
      <c r="D272" s="1" t="s">
        <v>49</v>
      </c>
      <c r="E272" s="1" t="s">
        <v>73</v>
      </c>
      <c r="F272" s="1" t="s">
        <v>24</v>
      </c>
      <c r="G272" s="1" t="s">
        <v>25</v>
      </c>
      <c r="H272" s="1" t="s">
        <v>26</v>
      </c>
      <c r="I272" s="1" t="s">
        <v>67</v>
      </c>
      <c r="J272" s="1">
        <v>5</v>
      </c>
      <c r="K272" s="3">
        <v>345.47</v>
      </c>
      <c r="L272" s="4">
        <v>0.1</v>
      </c>
      <c r="M272" s="3">
        <v>1554.62</v>
      </c>
      <c r="N272" s="3">
        <v>192.26</v>
      </c>
    </row>
    <row r="273" spans="1:14" x14ac:dyDescent="0.45">
      <c r="A273" s="1" t="s">
        <v>339</v>
      </c>
      <c r="B273" s="2">
        <v>45089</v>
      </c>
      <c r="C273" s="1" t="s">
        <v>14</v>
      </c>
      <c r="D273" s="1" t="s">
        <v>15</v>
      </c>
      <c r="E273" s="1" t="s">
        <v>23</v>
      </c>
      <c r="F273" s="1" t="s">
        <v>17</v>
      </c>
      <c r="G273" s="1" t="s">
        <v>74</v>
      </c>
      <c r="H273" s="1" t="s">
        <v>26</v>
      </c>
      <c r="I273" s="1" t="s">
        <v>42</v>
      </c>
      <c r="J273" s="1">
        <v>14</v>
      </c>
      <c r="K273" s="3">
        <v>88.29</v>
      </c>
      <c r="L273" s="4">
        <v>0</v>
      </c>
      <c r="M273" s="3">
        <v>1236.04</v>
      </c>
      <c r="N273" s="3">
        <v>292.27999999999997</v>
      </c>
    </row>
    <row r="274" spans="1:14" x14ac:dyDescent="0.45">
      <c r="A274" s="1" t="s">
        <v>340</v>
      </c>
      <c r="B274" s="2">
        <v>45084</v>
      </c>
      <c r="C274" s="1" t="s">
        <v>29</v>
      </c>
      <c r="D274" s="1" t="s">
        <v>44</v>
      </c>
      <c r="E274" s="1" t="s">
        <v>16</v>
      </c>
      <c r="F274" s="1" t="s">
        <v>32</v>
      </c>
      <c r="G274" s="1" t="s">
        <v>66</v>
      </c>
      <c r="H274" s="1" t="s">
        <v>26</v>
      </c>
      <c r="I274" s="1" t="s">
        <v>42</v>
      </c>
      <c r="J274" s="1">
        <v>4</v>
      </c>
      <c r="K274" s="3">
        <v>33.81</v>
      </c>
      <c r="L274" s="4">
        <v>0</v>
      </c>
      <c r="M274" s="3">
        <v>135.22</v>
      </c>
      <c r="N274" s="3">
        <v>-24.4</v>
      </c>
    </row>
    <row r="275" spans="1:14" x14ac:dyDescent="0.45">
      <c r="A275" s="1" t="s">
        <v>341</v>
      </c>
      <c r="B275" s="2">
        <v>45090</v>
      </c>
      <c r="C275" s="1" t="s">
        <v>29</v>
      </c>
      <c r="D275" s="1" t="s">
        <v>37</v>
      </c>
      <c r="E275" s="1" t="s">
        <v>92</v>
      </c>
      <c r="F275" s="1" t="s">
        <v>24</v>
      </c>
      <c r="G275" s="1" t="s">
        <v>61</v>
      </c>
      <c r="H275" s="1" t="s">
        <v>51</v>
      </c>
      <c r="I275" s="1" t="s">
        <v>42</v>
      </c>
      <c r="J275" s="1">
        <v>7</v>
      </c>
      <c r="K275" s="3">
        <v>91.75</v>
      </c>
      <c r="L275" s="4">
        <v>0</v>
      </c>
      <c r="M275" s="3">
        <v>642.24</v>
      </c>
      <c r="N275" s="3">
        <v>96.77</v>
      </c>
    </row>
    <row r="276" spans="1:14" x14ac:dyDescent="0.45">
      <c r="A276" s="1" t="s">
        <v>342</v>
      </c>
      <c r="B276" s="2">
        <v>45106</v>
      </c>
      <c r="C276" s="1" t="s">
        <v>14</v>
      </c>
      <c r="D276" s="1" t="s">
        <v>22</v>
      </c>
      <c r="E276" s="1" t="s">
        <v>60</v>
      </c>
      <c r="F276" s="1" t="s">
        <v>24</v>
      </c>
      <c r="G276" s="1" t="s">
        <v>54</v>
      </c>
      <c r="H276" s="1" t="s">
        <v>51</v>
      </c>
      <c r="I276" s="1" t="s">
        <v>35</v>
      </c>
      <c r="J276" s="1">
        <v>7</v>
      </c>
      <c r="K276" s="3">
        <v>1625.05</v>
      </c>
      <c r="L276" s="4">
        <v>0.05</v>
      </c>
      <c r="M276" s="3">
        <v>10806.58</v>
      </c>
      <c r="N276" s="3">
        <v>1506.38</v>
      </c>
    </row>
    <row r="277" spans="1:14" x14ac:dyDescent="0.45">
      <c r="A277" s="1" t="s">
        <v>343</v>
      </c>
      <c r="B277" s="2">
        <v>45107</v>
      </c>
      <c r="C277" s="1" t="s">
        <v>14</v>
      </c>
      <c r="D277" s="1" t="s">
        <v>80</v>
      </c>
      <c r="E277" s="1" t="s">
        <v>65</v>
      </c>
      <c r="F277" s="1" t="s">
        <v>17</v>
      </c>
      <c r="G277" s="1" t="s">
        <v>66</v>
      </c>
      <c r="H277" s="1" t="s">
        <v>26</v>
      </c>
      <c r="I277" s="1" t="s">
        <v>67</v>
      </c>
      <c r="J277" s="1">
        <v>4</v>
      </c>
      <c r="K277" s="3">
        <v>435.77</v>
      </c>
      <c r="L277" s="4">
        <v>0</v>
      </c>
      <c r="M277" s="3">
        <v>1743.08</v>
      </c>
      <c r="N277" s="3">
        <v>327.97</v>
      </c>
    </row>
    <row r="278" spans="1:14" x14ac:dyDescent="0.45">
      <c r="A278" s="1" t="s">
        <v>344</v>
      </c>
      <c r="B278" s="2">
        <v>45106</v>
      </c>
      <c r="C278" s="1" t="s">
        <v>48</v>
      </c>
      <c r="D278" s="1" t="s">
        <v>78</v>
      </c>
      <c r="E278" s="1" t="s">
        <v>65</v>
      </c>
      <c r="F278" s="1" t="s">
        <v>24</v>
      </c>
      <c r="G278" s="1" t="s">
        <v>66</v>
      </c>
      <c r="H278" s="1" t="s">
        <v>26</v>
      </c>
      <c r="I278" s="1" t="s">
        <v>39</v>
      </c>
      <c r="J278" s="1">
        <v>4</v>
      </c>
      <c r="K278" s="3">
        <v>485.43</v>
      </c>
      <c r="L278" s="4">
        <v>0</v>
      </c>
      <c r="M278" s="3">
        <v>1941.73</v>
      </c>
      <c r="N278" s="3">
        <v>492.17</v>
      </c>
    </row>
    <row r="279" spans="1:14" x14ac:dyDescent="0.45">
      <c r="A279" s="1" t="s">
        <v>345</v>
      </c>
      <c r="B279" s="2">
        <v>45103</v>
      </c>
      <c r="C279" s="1" t="s">
        <v>48</v>
      </c>
      <c r="D279" s="1" t="s">
        <v>49</v>
      </c>
      <c r="E279" s="1" t="s">
        <v>45</v>
      </c>
      <c r="F279" s="1" t="s">
        <v>17</v>
      </c>
      <c r="G279" s="1" t="s">
        <v>18</v>
      </c>
      <c r="H279" s="1" t="s">
        <v>19</v>
      </c>
      <c r="I279" s="1" t="s">
        <v>27</v>
      </c>
      <c r="J279" s="1">
        <v>3</v>
      </c>
      <c r="K279" s="3">
        <v>331.94</v>
      </c>
      <c r="L279" s="4">
        <v>0</v>
      </c>
      <c r="M279" s="3">
        <v>995.83</v>
      </c>
      <c r="N279" s="3">
        <v>178.79</v>
      </c>
    </row>
    <row r="280" spans="1:14" x14ac:dyDescent="0.45">
      <c r="A280" s="1" t="s">
        <v>346</v>
      </c>
      <c r="B280" s="2">
        <v>45098</v>
      </c>
      <c r="C280" s="1" t="s">
        <v>48</v>
      </c>
      <c r="D280" s="1" t="s">
        <v>91</v>
      </c>
      <c r="E280" s="1" t="s">
        <v>92</v>
      </c>
      <c r="F280" s="1" t="s">
        <v>17</v>
      </c>
      <c r="G280" s="1" t="s">
        <v>33</v>
      </c>
      <c r="H280" s="1" t="s">
        <v>34</v>
      </c>
      <c r="I280" s="1" t="s">
        <v>42</v>
      </c>
      <c r="J280" s="1">
        <v>5</v>
      </c>
      <c r="K280" s="3">
        <v>681.41</v>
      </c>
      <c r="L280" s="4">
        <v>0</v>
      </c>
      <c r="M280" s="3">
        <v>3407.05</v>
      </c>
      <c r="N280" s="3">
        <v>753.3</v>
      </c>
    </row>
    <row r="281" spans="1:14" x14ac:dyDescent="0.45">
      <c r="A281" s="1" t="s">
        <v>347</v>
      </c>
      <c r="B281" s="2">
        <v>45105</v>
      </c>
      <c r="C281" s="1" t="s">
        <v>29</v>
      </c>
      <c r="D281" s="1" t="s">
        <v>37</v>
      </c>
      <c r="E281" s="1" t="s">
        <v>81</v>
      </c>
      <c r="F281" s="1" t="s">
        <v>24</v>
      </c>
      <c r="G281" s="1" t="s">
        <v>66</v>
      </c>
      <c r="H281" s="1" t="s">
        <v>26</v>
      </c>
      <c r="I281" s="1" t="s">
        <v>67</v>
      </c>
      <c r="J281" s="1">
        <v>4</v>
      </c>
      <c r="K281" s="3">
        <v>90.15</v>
      </c>
      <c r="L281" s="4">
        <v>7.0000000000000007E-2</v>
      </c>
      <c r="M281" s="3">
        <v>335.35</v>
      </c>
      <c r="N281" s="3">
        <v>32.9</v>
      </c>
    </row>
    <row r="282" spans="1:14" x14ac:dyDescent="0.45">
      <c r="A282" s="1" t="s">
        <v>348</v>
      </c>
      <c r="B282" s="2">
        <v>45078</v>
      </c>
      <c r="C282" s="1" t="s">
        <v>14</v>
      </c>
      <c r="D282" s="1" t="s">
        <v>80</v>
      </c>
      <c r="E282" s="1" t="s">
        <v>81</v>
      </c>
      <c r="F282" s="1" t="s">
        <v>17</v>
      </c>
      <c r="G282" s="1" t="s">
        <v>33</v>
      </c>
      <c r="H282" s="1" t="s">
        <v>34</v>
      </c>
      <c r="I282" s="1" t="s">
        <v>67</v>
      </c>
      <c r="J282" s="1">
        <v>2</v>
      </c>
      <c r="K282" s="3">
        <v>415.35</v>
      </c>
      <c r="L282" s="4">
        <v>7.0000000000000007E-2</v>
      </c>
      <c r="M282" s="3">
        <v>772.56</v>
      </c>
      <c r="N282" s="3">
        <v>15.49</v>
      </c>
    </row>
    <row r="283" spans="1:14" x14ac:dyDescent="0.45">
      <c r="A283" s="1" t="s">
        <v>349</v>
      </c>
      <c r="B283" s="2">
        <v>45107</v>
      </c>
      <c r="C283" s="1" t="s">
        <v>14</v>
      </c>
      <c r="D283" s="1" t="s">
        <v>22</v>
      </c>
      <c r="E283" s="1" t="s">
        <v>92</v>
      </c>
      <c r="F283" s="1" t="s">
        <v>32</v>
      </c>
      <c r="G283" s="1" t="s">
        <v>57</v>
      </c>
      <c r="H283" s="1" t="s">
        <v>51</v>
      </c>
      <c r="I283" s="1" t="s">
        <v>20</v>
      </c>
      <c r="J283" s="1">
        <v>3</v>
      </c>
      <c r="K283" s="3">
        <v>1401.34</v>
      </c>
      <c r="L283" s="4">
        <v>0</v>
      </c>
      <c r="M283" s="3">
        <v>4204.0200000000004</v>
      </c>
      <c r="N283" s="3">
        <v>667.64</v>
      </c>
    </row>
    <row r="284" spans="1:14" x14ac:dyDescent="0.45">
      <c r="A284" s="1" t="s">
        <v>350</v>
      </c>
      <c r="B284" s="2">
        <v>45079</v>
      </c>
      <c r="C284" s="1" t="s">
        <v>29</v>
      </c>
      <c r="D284" s="1" t="s">
        <v>30</v>
      </c>
      <c r="E284" s="1" t="s">
        <v>16</v>
      </c>
      <c r="F284" s="1" t="s">
        <v>32</v>
      </c>
      <c r="G284" s="1" t="s">
        <v>46</v>
      </c>
      <c r="H284" s="1" t="s">
        <v>26</v>
      </c>
      <c r="I284" s="1" t="s">
        <v>42</v>
      </c>
      <c r="J284" s="1">
        <v>12</v>
      </c>
      <c r="K284" s="3">
        <v>47.06</v>
      </c>
      <c r="L284" s="4">
        <v>0</v>
      </c>
      <c r="M284" s="3">
        <v>564.77</v>
      </c>
      <c r="N284" s="3">
        <v>80.849999999999994</v>
      </c>
    </row>
    <row r="285" spans="1:14" x14ac:dyDescent="0.45">
      <c r="A285" s="1" t="s">
        <v>351</v>
      </c>
      <c r="B285" s="2">
        <v>45078</v>
      </c>
      <c r="C285" s="1" t="s">
        <v>14</v>
      </c>
      <c r="D285" s="1" t="s">
        <v>22</v>
      </c>
      <c r="E285" s="1" t="s">
        <v>38</v>
      </c>
      <c r="F285" s="1" t="s">
        <v>32</v>
      </c>
      <c r="G285" s="1" t="s">
        <v>50</v>
      </c>
      <c r="H285" s="1" t="s">
        <v>51</v>
      </c>
      <c r="I285" s="1" t="s">
        <v>27</v>
      </c>
      <c r="J285" s="1">
        <v>8</v>
      </c>
      <c r="K285" s="3">
        <v>1477.15</v>
      </c>
      <c r="L285" s="4">
        <v>0.03</v>
      </c>
      <c r="M285" s="3">
        <v>11462.71</v>
      </c>
      <c r="N285" s="3">
        <v>1853.83</v>
      </c>
    </row>
    <row r="286" spans="1:14" x14ac:dyDescent="0.45">
      <c r="A286" s="1" t="s">
        <v>352</v>
      </c>
      <c r="B286" s="2">
        <v>45086</v>
      </c>
      <c r="C286" s="1" t="s">
        <v>29</v>
      </c>
      <c r="D286" s="1" t="s">
        <v>30</v>
      </c>
      <c r="E286" s="1" t="s">
        <v>87</v>
      </c>
      <c r="F286" s="1" t="s">
        <v>32</v>
      </c>
      <c r="G286" s="1" t="s">
        <v>18</v>
      </c>
      <c r="H286" s="1" t="s">
        <v>19</v>
      </c>
      <c r="I286" s="1" t="s">
        <v>42</v>
      </c>
      <c r="J286" s="1">
        <v>9</v>
      </c>
      <c r="K286" s="3">
        <v>49.86</v>
      </c>
      <c r="L286" s="4">
        <v>7.0000000000000007E-2</v>
      </c>
      <c r="M286" s="3">
        <v>417.31</v>
      </c>
      <c r="N286" s="3">
        <v>26.69</v>
      </c>
    </row>
    <row r="287" spans="1:14" x14ac:dyDescent="0.45">
      <c r="A287" s="1" t="s">
        <v>353</v>
      </c>
      <c r="B287" s="2">
        <v>45078</v>
      </c>
      <c r="C287" s="1" t="s">
        <v>48</v>
      </c>
      <c r="D287" s="1" t="s">
        <v>78</v>
      </c>
      <c r="E287" s="1" t="s">
        <v>56</v>
      </c>
      <c r="F287" s="1" t="s">
        <v>17</v>
      </c>
      <c r="G287" s="1" t="s">
        <v>25</v>
      </c>
      <c r="H287" s="1" t="s">
        <v>26</v>
      </c>
      <c r="I287" s="1" t="s">
        <v>39</v>
      </c>
      <c r="J287" s="1">
        <v>1</v>
      </c>
      <c r="K287" s="3">
        <v>474.93</v>
      </c>
      <c r="L287" s="4">
        <v>0.03</v>
      </c>
      <c r="M287" s="3">
        <v>460.68</v>
      </c>
      <c r="N287" s="3">
        <v>9.15</v>
      </c>
    </row>
    <row r="288" spans="1:14" x14ac:dyDescent="0.45">
      <c r="A288" s="1" t="s">
        <v>354</v>
      </c>
      <c r="B288" s="2">
        <v>45117</v>
      </c>
      <c r="C288" s="1" t="s">
        <v>14</v>
      </c>
      <c r="D288" s="1" t="s">
        <v>15</v>
      </c>
      <c r="E288" s="1" t="s">
        <v>65</v>
      </c>
      <c r="F288" s="1" t="s">
        <v>17</v>
      </c>
      <c r="G288" s="1" t="s">
        <v>61</v>
      </c>
      <c r="H288" s="1" t="s">
        <v>51</v>
      </c>
      <c r="I288" s="1" t="s">
        <v>20</v>
      </c>
      <c r="J288" s="1">
        <v>18</v>
      </c>
      <c r="K288" s="3">
        <v>103.99</v>
      </c>
      <c r="L288" s="4">
        <v>0.05</v>
      </c>
      <c r="M288" s="3">
        <v>1778.21</v>
      </c>
      <c r="N288" s="3">
        <v>509.19</v>
      </c>
    </row>
    <row r="289" spans="1:14" x14ac:dyDescent="0.45">
      <c r="A289" s="1" t="s">
        <v>355</v>
      </c>
      <c r="B289" s="2">
        <v>45135</v>
      </c>
      <c r="C289" s="1" t="s">
        <v>48</v>
      </c>
      <c r="D289" s="1" t="s">
        <v>91</v>
      </c>
      <c r="E289" s="1" t="s">
        <v>38</v>
      </c>
      <c r="F289" s="1" t="s">
        <v>17</v>
      </c>
      <c r="G289" s="1" t="s">
        <v>66</v>
      </c>
      <c r="H289" s="1" t="s">
        <v>26</v>
      </c>
      <c r="I289" s="1" t="s">
        <v>67</v>
      </c>
      <c r="J289" s="1">
        <v>7</v>
      </c>
      <c r="K289" s="3">
        <v>624.4</v>
      </c>
      <c r="L289" s="4">
        <v>0.03</v>
      </c>
      <c r="M289" s="3">
        <v>4239.68</v>
      </c>
      <c r="N289" s="3">
        <v>742.27</v>
      </c>
    </row>
    <row r="290" spans="1:14" x14ac:dyDescent="0.45">
      <c r="A290" s="1" t="s">
        <v>356</v>
      </c>
      <c r="B290" s="2">
        <v>45125</v>
      </c>
      <c r="C290" s="1" t="s">
        <v>14</v>
      </c>
      <c r="D290" s="1" t="s">
        <v>15</v>
      </c>
      <c r="E290" s="1" t="s">
        <v>60</v>
      </c>
      <c r="F290" s="1" t="s">
        <v>17</v>
      </c>
      <c r="G290" s="1" t="s">
        <v>33</v>
      </c>
      <c r="H290" s="1" t="s">
        <v>34</v>
      </c>
      <c r="I290" s="1" t="s">
        <v>67</v>
      </c>
      <c r="J290" s="1">
        <v>3</v>
      </c>
      <c r="K290" s="3">
        <v>103.87</v>
      </c>
      <c r="L290" s="4">
        <v>0</v>
      </c>
      <c r="M290" s="3">
        <v>311.62</v>
      </c>
      <c r="N290" s="3">
        <v>32.65</v>
      </c>
    </row>
    <row r="291" spans="1:14" x14ac:dyDescent="0.45">
      <c r="A291" s="1" t="s">
        <v>357</v>
      </c>
      <c r="B291" s="2">
        <v>45114</v>
      </c>
      <c r="C291" s="1" t="s">
        <v>29</v>
      </c>
      <c r="D291" s="1" t="s">
        <v>37</v>
      </c>
      <c r="E291" s="1" t="s">
        <v>53</v>
      </c>
      <c r="F291" s="1" t="s">
        <v>32</v>
      </c>
      <c r="G291" s="1" t="s">
        <v>46</v>
      </c>
      <c r="H291" s="1" t="s">
        <v>26</v>
      </c>
      <c r="I291" s="1" t="s">
        <v>35</v>
      </c>
      <c r="J291" s="1">
        <v>9</v>
      </c>
      <c r="K291" s="3">
        <v>74.06</v>
      </c>
      <c r="L291" s="4">
        <v>0</v>
      </c>
      <c r="M291" s="3">
        <v>666.5</v>
      </c>
      <c r="N291" s="3">
        <v>72.959999999999994</v>
      </c>
    </row>
    <row r="292" spans="1:14" x14ac:dyDescent="0.45">
      <c r="A292" s="1" t="s">
        <v>358</v>
      </c>
      <c r="B292" s="2">
        <v>45124</v>
      </c>
      <c r="C292" s="1" t="s">
        <v>14</v>
      </c>
      <c r="D292" s="1" t="s">
        <v>22</v>
      </c>
      <c r="E292" s="1" t="s">
        <v>89</v>
      </c>
      <c r="F292" s="1" t="s">
        <v>32</v>
      </c>
      <c r="G292" s="1" t="s">
        <v>33</v>
      </c>
      <c r="H292" s="1" t="s">
        <v>34</v>
      </c>
      <c r="I292" s="1" t="s">
        <v>35</v>
      </c>
      <c r="J292" s="1">
        <v>7</v>
      </c>
      <c r="K292" s="3">
        <v>1460.4</v>
      </c>
      <c r="L292" s="4">
        <v>0.03</v>
      </c>
      <c r="M292" s="3">
        <v>9916.1299999999992</v>
      </c>
      <c r="N292" s="3">
        <v>2200.27</v>
      </c>
    </row>
    <row r="293" spans="1:14" x14ac:dyDescent="0.45">
      <c r="A293" s="1" t="s">
        <v>359</v>
      </c>
      <c r="B293" s="2">
        <v>45125</v>
      </c>
      <c r="C293" s="1" t="s">
        <v>29</v>
      </c>
      <c r="D293" s="1" t="s">
        <v>44</v>
      </c>
      <c r="E293" s="1" t="s">
        <v>41</v>
      </c>
      <c r="F293" s="1" t="s">
        <v>17</v>
      </c>
      <c r="G293" s="1" t="s">
        <v>66</v>
      </c>
      <c r="H293" s="1" t="s">
        <v>26</v>
      </c>
      <c r="I293" s="1" t="s">
        <v>42</v>
      </c>
      <c r="J293" s="1">
        <v>11</v>
      </c>
      <c r="K293" s="3">
        <v>34.19</v>
      </c>
      <c r="L293" s="4">
        <v>0.1</v>
      </c>
      <c r="M293" s="3">
        <v>338.49</v>
      </c>
      <c r="N293" s="3">
        <v>48.4</v>
      </c>
    </row>
    <row r="294" spans="1:14" x14ac:dyDescent="0.45">
      <c r="A294" s="1" t="s">
        <v>360</v>
      </c>
      <c r="B294" s="2">
        <v>45127</v>
      </c>
      <c r="C294" s="1" t="s">
        <v>14</v>
      </c>
      <c r="D294" s="1" t="s">
        <v>22</v>
      </c>
      <c r="E294" s="1" t="s">
        <v>92</v>
      </c>
      <c r="F294" s="1" t="s">
        <v>32</v>
      </c>
      <c r="G294" s="1" t="s">
        <v>25</v>
      </c>
      <c r="H294" s="1" t="s">
        <v>26</v>
      </c>
      <c r="I294" s="1" t="s">
        <v>67</v>
      </c>
      <c r="J294" s="1">
        <v>1</v>
      </c>
      <c r="K294" s="3">
        <v>1426.91</v>
      </c>
      <c r="L294" s="4">
        <v>0.03</v>
      </c>
      <c r="M294" s="3">
        <v>1384.1</v>
      </c>
      <c r="N294" s="3">
        <v>250.94</v>
      </c>
    </row>
    <row r="295" spans="1:14" x14ac:dyDescent="0.45">
      <c r="A295" s="1" t="s">
        <v>361</v>
      </c>
      <c r="B295" s="2">
        <v>45120</v>
      </c>
      <c r="C295" s="1" t="s">
        <v>29</v>
      </c>
      <c r="D295" s="1" t="s">
        <v>37</v>
      </c>
      <c r="E295" s="1" t="s">
        <v>16</v>
      </c>
      <c r="F295" s="1" t="s">
        <v>17</v>
      </c>
      <c r="G295" s="1" t="s">
        <v>50</v>
      </c>
      <c r="H295" s="1" t="s">
        <v>51</v>
      </c>
      <c r="I295" s="1" t="s">
        <v>39</v>
      </c>
      <c r="J295" s="1">
        <v>5</v>
      </c>
      <c r="K295" s="3">
        <v>85.39</v>
      </c>
      <c r="L295" s="4">
        <v>0</v>
      </c>
      <c r="M295" s="3">
        <v>426.96</v>
      </c>
      <c r="N295" s="3">
        <v>64.17</v>
      </c>
    </row>
    <row r="296" spans="1:14" x14ac:dyDescent="0.45">
      <c r="A296" s="1" t="s">
        <v>362</v>
      </c>
      <c r="B296" s="2">
        <v>45113</v>
      </c>
      <c r="C296" s="1" t="s">
        <v>14</v>
      </c>
      <c r="D296" s="1" t="s">
        <v>22</v>
      </c>
      <c r="E296" s="1" t="s">
        <v>92</v>
      </c>
      <c r="F296" s="1" t="s">
        <v>24</v>
      </c>
      <c r="G296" s="1" t="s">
        <v>61</v>
      </c>
      <c r="H296" s="1" t="s">
        <v>51</v>
      </c>
      <c r="I296" s="1" t="s">
        <v>42</v>
      </c>
      <c r="J296" s="1">
        <v>2</v>
      </c>
      <c r="K296" s="3">
        <v>1449.62</v>
      </c>
      <c r="L296" s="4">
        <v>0.03</v>
      </c>
      <c r="M296" s="3">
        <v>2812.26</v>
      </c>
      <c r="N296" s="3">
        <v>592.29999999999995</v>
      </c>
    </row>
    <row r="297" spans="1:14" x14ac:dyDescent="0.45">
      <c r="A297" s="1" t="s">
        <v>363</v>
      </c>
      <c r="B297" s="2">
        <v>45128</v>
      </c>
      <c r="C297" s="1" t="s">
        <v>14</v>
      </c>
      <c r="D297" s="1" t="s">
        <v>15</v>
      </c>
      <c r="E297" s="1" t="s">
        <v>56</v>
      </c>
      <c r="F297" s="1" t="s">
        <v>17</v>
      </c>
      <c r="G297" s="1" t="s">
        <v>57</v>
      </c>
      <c r="H297" s="1" t="s">
        <v>51</v>
      </c>
      <c r="I297" s="1" t="s">
        <v>35</v>
      </c>
      <c r="J297" s="1">
        <v>5</v>
      </c>
      <c r="K297" s="3">
        <v>81.81</v>
      </c>
      <c r="L297" s="4">
        <v>0.05</v>
      </c>
      <c r="M297" s="3">
        <v>388.6</v>
      </c>
      <c r="N297" s="3">
        <v>-28.47</v>
      </c>
    </row>
    <row r="298" spans="1:14" x14ac:dyDescent="0.45">
      <c r="A298" s="1" t="s">
        <v>364</v>
      </c>
      <c r="B298" s="2">
        <v>45131</v>
      </c>
      <c r="C298" s="1" t="s">
        <v>48</v>
      </c>
      <c r="D298" s="1" t="s">
        <v>91</v>
      </c>
      <c r="E298" s="1" t="s">
        <v>106</v>
      </c>
      <c r="F298" s="1" t="s">
        <v>32</v>
      </c>
      <c r="G298" s="1" t="s">
        <v>57</v>
      </c>
      <c r="H298" s="1" t="s">
        <v>51</v>
      </c>
      <c r="I298" s="1" t="s">
        <v>42</v>
      </c>
      <c r="J298" s="1">
        <v>7</v>
      </c>
      <c r="K298" s="3">
        <v>510.13</v>
      </c>
      <c r="L298" s="4">
        <v>0</v>
      </c>
      <c r="M298" s="3">
        <v>3570.91</v>
      </c>
      <c r="N298" s="3">
        <v>806.64</v>
      </c>
    </row>
    <row r="299" spans="1:14" x14ac:dyDescent="0.45">
      <c r="A299" s="1" t="s">
        <v>365</v>
      </c>
      <c r="B299" s="2">
        <v>45127</v>
      </c>
      <c r="C299" s="1" t="s">
        <v>14</v>
      </c>
      <c r="D299" s="1" t="s">
        <v>22</v>
      </c>
      <c r="E299" s="1" t="s">
        <v>104</v>
      </c>
      <c r="F299" s="1" t="s">
        <v>24</v>
      </c>
      <c r="G299" s="1" t="s">
        <v>74</v>
      </c>
      <c r="H299" s="1" t="s">
        <v>26</v>
      </c>
      <c r="I299" s="1" t="s">
        <v>20</v>
      </c>
      <c r="J299" s="1">
        <v>5</v>
      </c>
      <c r="K299" s="3">
        <v>1297.8499999999999</v>
      </c>
      <c r="L299" s="4">
        <v>7.0000000000000007E-2</v>
      </c>
      <c r="M299" s="3">
        <v>6035.01</v>
      </c>
      <c r="N299" s="3">
        <v>1070</v>
      </c>
    </row>
    <row r="300" spans="1:14" x14ac:dyDescent="0.45">
      <c r="A300" s="1" t="s">
        <v>366</v>
      </c>
      <c r="B300" s="2">
        <v>45132</v>
      </c>
      <c r="C300" s="1" t="s">
        <v>14</v>
      </c>
      <c r="D300" s="1" t="s">
        <v>80</v>
      </c>
      <c r="E300" s="1" t="s">
        <v>23</v>
      </c>
      <c r="F300" s="1" t="s">
        <v>17</v>
      </c>
      <c r="G300" s="1" t="s">
        <v>25</v>
      </c>
      <c r="H300" s="1" t="s">
        <v>26</v>
      </c>
      <c r="I300" s="1" t="s">
        <v>42</v>
      </c>
      <c r="J300" s="1">
        <v>1</v>
      </c>
      <c r="K300" s="3">
        <v>404.51</v>
      </c>
      <c r="L300" s="4">
        <v>0.1</v>
      </c>
      <c r="M300" s="3">
        <v>364.06</v>
      </c>
      <c r="N300" s="3">
        <v>-10.32</v>
      </c>
    </row>
    <row r="301" spans="1:14" x14ac:dyDescent="0.45">
      <c r="A301" s="1" t="s">
        <v>367</v>
      </c>
      <c r="B301" s="2">
        <v>45121</v>
      </c>
      <c r="C301" s="1" t="s">
        <v>29</v>
      </c>
      <c r="D301" s="1" t="s">
        <v>37</v>
      </c>
      <c r="E301" s="1" t="s">
        <v>53</v>
      </c>
      <c r="F301" s="1" t="s">
        <v>32</v>
      </c>
      <c r="G301" s="1" t="s">
        <v>50</v>
      </c>
      <c r="H301" s="1" t="s">
        <v>51</v>
      </c>
      <c r="I301" s="1" t="s">
        <v>35</v>
      </c>
      <c r="J301" s="1">
        <v>7</v>
      </c>
      <c r="K301" s="3">
        <v>76.56</v>
      </c>
      <c r="L301" s="4">
        <v>7.0000000000000007E-2</v>
      </c>
      <c r="M301" s="3">
        <v>498.38</v>
      </c>
      <c r="N301" s="3">
        <v>39.76</v>
      </c>
    </row>
    <row r="302" spans="1:14" x14ac:dyDescent="0.45">
      <c r="A302" s="1" t="s">
        <v>368</v>
      </c>
      <c r="B302" s="2">
        <v>45112</v>
      </c>
      <c r="C302" s="1" t="s">
        <v>14</v>
      </c>
      <c r="D302" s="1" t="s">
        <v>80</v>
      </c>
      <c r="E302" s="1" t="s">
        <v>92</v>
      </c>
      <c r="F302" s="1" t="s">
        <v>24</v>
      </c>
      <c r="G302" s="1" t="s">
        <v>50</v>
      </c>
      <c r="H302" s="1" t="s">
        <v>51</v>
      </c>
      <c r="I302" s="1" t="s">
        <v>20</v>
      </c>
      <c r="J302" s="1">
        <v>3</v>
      </c>
      <c r="K302" s="3">
        <v>350.87</v>
      </c>
      <c r="L302" s="4">
        <v>0.1</v>
      </c>
      <c r="M302" s="3">
        <v>947.35</v>
      </c>
      <c r="N302" s="3">
        <v>104.71</v>
      </c>
    </row>
    <row r="303" spans="1:14" x14ac:dyDescent="0.45">
      <c r="A303" s="1" t="s">
        <v>369</v>
      </c>
      <c r="B303" s="2">
        <v>45110</v>
      </c>
      <c r="C303" s="1" t="s">
        <v>14</v>
      </c>
      <c r="D303" s="1" t="s">
        <v>15</v>
      </c>
      <c r="E303" s="1" t="s">
        <v>92</v>
      </c>
      <c r="F303" s="1" t="s">
        <v>17</v>
      </c>
      <c r="G303" s="1" t="s">
        <v>61</v>
      </c>
      <c r="H303" s="1" t="s">
        <v>51</v>
      </c>
      <c r="I303" s="1" t="s">
        <v>20</v>
      </c>
      <c r="J303" s="1">
        <v>9</v>
      </c>
      <c r="K303" s="3">
        <v>98.71</v>
      </c>
      <c r="L303" s="4">
        <v>0.1</v>
      </c>
      <c r="M303" s="3">
        <v>799.57</v>
      </c>
      <c r="N303" s="3">
        <v>127.98</v>
      </c>
    </row>
    <row r="304" spans="1:14" x14ac:dyDescent="0.45">
      <c r="A304" s="1" t="s">
        <v>370</v>
      </c>
      <c r="B304" s="2">
        <v>45148</v>
      </c>
      <c r="C304" s="1" t="s">
        <v>48</v>
      </c>
      <c r="D304" s="1" t="s">
        <v>78</v>
      </c>
      <c r="E304" s="1" t="s">
        <v>87</v>
      </c>
      <c r="F304" s="1" t="s">
        <v>17</v>
      </c>
      <c r="G304" s="1" t="s">
        <v>33</v>
      </c>
      <c r="H304" s="1" t="s">
        <v>34</v>
      </c>
      <c r="I304" s="1" t="s">
        <v>39</v>
      </c>
      <c r="J304" s="1">
        <v>5</v>
      </c>
      <c r="K304" s="3">
        <v>526.27</v>
      </c>
      <c r="L304" s="4">
        <v>0</v>
      </c>
      <c r="M304" s="3">
        <v>2631.33</v>
      </c>
      <c r="N304" s="3">
        <v>469.58</v>
      </c>
    </row>
    <row r="305" spans="1:14" x14ac:dyDescent="0.45">
      <c r="A305" s="1" t="s">
        <v>371</v>
      </c>
      <c r="B305" s="2">
        <v>45153</v>
      </c>
      <c r="C305" s="1" t="s">
        <v>14</v>
      </c>
      <c r="D305" s="1" t="s">
        <v>15</v>
      </c>
      <c r="E305" s="1" t="s">
        <v>106</v>
      </c>
      <c r="F305" s="1" t="s">
        <v>32</v>
      </c>
      <c r="G305" s="1" t="s">
        <v>57</v>
      </c>
      <c r="H305" s="1" t="s">
        <v>51</v>
      </c>
      <c r="I305" s="1" t="s">
        <v>67</v>
      </c>
      <c r="J305" s="1">
        <v>8</v>
      </c>
      <c r="K305" s="3">
        <v>94.63</v>
      </c>
      <c r="L305" s="4">
        <v>0.03</v>
      </c>
      <c r="M305" s="3">
        <v>734.32</v>
      </c>
      <c r="N305" s="3">
        <v>107.64</v>
      </c>
    </row>
    <row r="306" spans="1:14" x14ac:dyDescent="0.45">
      <c r="A306" s="1" t="s">
        <v>372</v>
      </c>
      <c r="B306" s="2">
        <v>45168</v>
      </c>
      <c r="C306" s="1" t="s">
        <v>14</v>
      </c>
      <c r="D306" s="1" t="s">
        <v>22</v>
      </c>
      <c r="E306" s="1" t="s">
        <v>87</v>
      </c>
      <c r="F306" s="1" t="s">
        <v>24</v>
      </c>
      <c r="G306" s="1" t="s">
        <v>33</v>
      </c>
      <c r="H306" s="1" t="s">
        <v>34</v>
      </c>
      <c r="I306" s="1" t="s">
        <v>20</v>
      </c>
      <c r="J306" s="1">
        <v>2</v>
      </c>
      <c r="K306" s="3">
        <v>1678.82</v>
      </c>
      <c r="L306" s="4">
        <v>0.03</v>
      </c>
      <c r="M306" s="3">
        <v>3256.91</v>
      </c>
      <c r="N306" s="3">
        <v>669.57</v>
      </c>
    </row>
    <row r="307" spans="1:14" x14ac:dyDescent="0.45">
      <c r="A307" s="1" t="s">
        <v>373</v>
      </c>
      <c r="B307" s="2">
        <v>45160</v>
      </c>
      <c r="C307" s="1" t="s">
        <v>29</v>
      </c>
      <c r="D307" s="1" t="s">
        <v>37</v>
      </c>
      <c r="E307" s="1" t="s">
        <v>53</v>
      </c>
      <c r="F307" s="1" t="s">
        <v>32</v>
      </c>
      <c r="G307" s="1" t="s">
        <v>66</v>
      </c>
      <c r="H307" s="1" t="s">
        <v>26</v>
      </c>
      <c r="I307" s="1" t="s">
        <v>35</v>
      </c>
      <c r="J307" s="1">
        <v>6</v>
      </c>
      <c r="K307" s="3">
        <v>97.06</v>
      </c>
      <c r="L307" s="4">
        <v>0.1</v>
      </c>
      <c r="M307" s="3">
        <v>524.13</v>
      </c>
      <c r="N307" s="3">
        <v>84.26</v>
      </c>
    </row>
    <row r="308" spans="1:14" x14ac:dyDescent="0.45">
      <c r="A308" s="1" t="s">
        <v>374</v>
      </c>
      <c r="B308" s="2">
        <v>45169</v>
      </c>
      <c r="C308" s="1" t="s">
        <v>48</v>
      </c>
      <c r="D308" s="1" t="s">
        <v>91</v>
      </c>
      <c r="E308" s="1" t="s">
        <v>73</v>
      </c>
      <c r="F308" s="1" t="s">
        <v>24</v>
      </c>
      <c r="G308" s="1" t="s">
        <v>33</v>
      </c>
      <c r="H308" s="1" t="s">
        <v>34</v>
      </c>
      <c r="I308" s="1" t="s">
        <v>67</v>
      </c>
      <c r="J308" s="1">
        <v>6</v>
      </c>
      <c r="K308" s="3">
        <v>640.82000000000005</v>
      </c>
      <c r="L308" s="4">
        <v>7.0000000000000007E-2</v>
      </c>
      <c r="M308" s="3">
        <v>3575.77</v>
      </c>
      <c r="N308" s="3">
        <v>765.72</v>
      </c>
    </row>
    <row r="309" spans="1:14" x14ac:dyDescent="0.45">
      <c r="A309" s="1" t="s">
        <v>375</v>
      </c>
      <c r="B309" s="2">
        <v>45166</v>
      </c>
      <c r="C309" s="1" t="s">
        <v>29</v>
      </c>
      <c r="D309" s="1" t="s">
        <v>30</v>
      </c>
      <c r="E309" s="1" t="s">
        <v>106</v>
      </c>
      <c r="F309" s="1" t="s">
        <v>24</v>
      </c>
      <c r="G309" s="1" t="s">
        <v>33</v>
      </c>
      <c r="H309" s="1" t="s">
        <v>34</v>
      </c>
      <c r="I309" s="1" t="s">
        <v>67</v>
      </c>
      <c r="J309" s="1">
        <v>14</v>
      </c>
      <c r="K309" s="3">
        <v>60.47</v>
      </c>
      <c r="L309" s="4">
        <v>7.0000000000000007E-2</v>
      </c>
      <c r="M309" s="3">
        <v>787.34</v>
      </c>
      <c r="N309" s="3">
        <v>56.66</v>
      </c>
    </row>
    <row r="310" spans="1:14" x14ac:dyDescent="0.45">
      <c r="A310" s="1" t="s">
        <v>376</v>
      </c>
      <c r="B310" s="2">
        <v>45167</v>
      </c>
      <c r="C310" s="1" t="s">
        <v>14</v>
      </c>
      <c r="D310" s="1" t="s">
        <v>15</v>
      </c>
      <c r="E310" s="1" t="s">
        <v>63</v>
      </c>
      <c r="F310" s="1" t="s">
        <v>32</v>
      </c>
      <c r="G310" s="1" t="s">
        <v>74</v>
      </c>
      <c r="H310" s="1" t="s">
        <v>26</v>
      </c>
      <c r="I310" s="1" t="s">
        <v>20</v>
      </c>
      <c r="J310" s="1">
        <v>12</v>
      </c>
      <c r="K310" s="3">
        <v>94.85</v>
      </c>
      <c r="L310" s="4">
        <v>0</v>
      </c>
      <c r="M310" s="3">
        <v>1138.18</v>
      </c>
      <c r="N310" s="3">
        <v>269.70999999999998</v>
      </c>
    </row>
    <row r="311" spans="1:14" x14ac:dyDescent="0.45">
      <c r="A311" s="1" t="s">
        <v>377</v>
      </c>
      <c r="B311" s="2">
        <v>45139</v>
      </c>
      <c r="C311" s="1" t="s">
        <v>14</v>
      </c>
      <c r="D311" s="1" t="s">
        <v>15</v>
      </c>
      <c r="E311" s="1" t="s">
        <v>89</v>
      </c>
      <c r="F311" s="1" t="s">
        <v>17</v>
      </c>
      <c r="G311" s="1" t="s">
        <v>46</v>
      </c>
      <c r="H311" s="1" t="s">
        <v>26</v>
      </c>
      <c r="I311" s="1" t="s">
        <v>35</v>
      </c>
      <c r="J311" s="1">
        <v>8</v>
      </c>
      <c r="K311" s="3">
        <v>89.47</v>
      </c>
      <c r="L311" s="4">
        <v>0</v>
      </c>
      <c r="M311" s="3">
        <v>715.73</v>
      </c>
      <c r="N311" s="3">
        <v>93.16</v>
      </c>
    </row>
    <row r="312" spans="1:14" x14ac:dyDescent="0.45">
      <c r="A312" s="1" t="s">
        <v>378</v>
      </c>
      <c r="B312" s="2">
        <v>45160</v>
      </c>
      <c r="C312" s="1" t="s">
        <v>14</v>
      </c>
      <c r="D312" s="1" t="s">
        <v>80</v>
      </c>
      <c r="E312" s="1" t="s">
        <v>31</v>
      </c>
      <c r="F312" s="1" t="s">
        <v>17</v>
      </c>
      <c r="G312" s="1" t="s">
        <v>57</v>
      </c>
      <c r="H312" s="1" t="s">
        <v>51</v>
      </c>
      <c r="I312" s="1" t="s">
        <v>39</v>
      </c>
      <c r="J312" s="1">
        <v>8</v>
      </c>
      <c r="K312" s="3">
        <v>382.31</v>
      </c>
      <c r="L312" s="4">
        <v>0.03</v>
      </c>
      <c r="M312" s="3">
        <v>2966.71</v>
      </c>
      <c r="N312" s="3">
        <v>643.13</v>
      </c>
    </row>
    <row r="313" spans="1:14" x14ac:dyDescent="0.45">
      <c r="A313" s="1" t="s">
        <v>379</v>
      </c>
      <c r="B313" s="2">
        <v>45153</v>
      </c>
      <c r="C313" s="1" t="s">
        <v>48</v>
      </c>
      <c r="D313" s="1" t="s">
        <v>78</v>
      </c>
      <c r="E313" s="1" t="s">
        <v>45</v>
      </c>
      <c r="F313" s="1" t="s">
        <v>32</v>
      </c>
      <c r="G313" s="1" t="s">
        <v>25</v>
      </c>
      <c r="H313" s="1" t="s">
        <v>26</v>
      </c>
      <c r="I313" s="1" t="s">
        <v>27</v>
      </c>
      <c r="J313" s="1">
        <v>1</v>
      </c>
      <c r="K313" s="3">
        <v>483.72</v>
      </c>
      <c r="L313" s="4">
        <v>0.03</v>
      </c>
      <c r="M313" s="3">
        <v>469.21</v>
      </c>
      <c r="N313" s="3">
        <v>63.13</v>
      </c>
    </row>
    <row r="314" spans="1:14" x14ac:dyDescent="0.45">
      <c r="A314" s="1" t="s">
        <v>380</v>
      </c>
      <c r="B314" s="2">
        <v>45156</v>
      </c>
      <c r="C314" s="1" t="s">
        <v>14</v>
      </c>
      <c r="D314" s="1" t="s">
        <v>80</v>
      </c>
      <c r="E314" s="1" t="s">
        <v>41</v>
      </c>
      <c r="F314" s="1" t="s">
        <v>24</v>
      </c>
      <c r="G314" s="1" t="s">
        <v>33</v>
      </c>
      <c r="H314" s="1" t="s">
        <v>34</v>
      </c>
      <c r="I314" s="1" t="s">
        <v>27</v>
      </c>
      <c r="J314" s="1">
        <v>6</v>
      </c>
      <c r="K314" s="3">
        <v>441.39</v>
      </c>
      <c r="L314" s="4">
        <v>7.0000000000000007E-2</v>
      </c>
      <c r="M314" s="3">
        <v>2462.9699999999998</v>
      </c>
      <c r="N314" s="3">
        <v>535.32000000000005</v>
      </c>
    </row>
    <row r="315" spans="1:14" x14ac:dyDescent="0.45">
      <c r="A315" s="1" t="s">
        <v>381</v>
      </c>
      <c r="B315" s="2">
        <v>45162</v>
      </c>
      <c r="C315" s="1" t="s">
        <v>48</v>
      </c>
      <c r="D315" s="1" t="s">
        <v>49</v>
      </c>
      <c r="E315" s="1" t="s">
        <v>31</v>
      </c>
      <c r="F315" s="1" t="s">
        <v>17</v>
      </c>
      <c r="G315" s="1" t="s">
        <v>74</v>
      </c>
      <c r="H315" s="1" t="s">
        <v>26</v>
      </c>
      <c r="I315" s="1" t="s">
        <v>27</v>
      </c>
      <c r="J315" s="1">
        <v>2</v>
      </c>
      <c r="K315" s="3">
        <v>305.63</v>
      </c>
      <c r="L315" s="4">
        <v>0</v>
      </c>
      <c r="M315" s="3">
        <v>611.26</v>
      </c>
      <c r="N315" s="3">
        <v>56.04</v>
      </c>
    </row>
    <row r="316" spans="1:14" x14ac:dyDescent="0.45">
      <c r="A316" s="1" t="s">
        <v>382</v>
      </c>
      <c r="B316" s="2">
        <v>45154</v>
      </c>
      <c r="C316" s="1" t="s">
        <v>29</v>
      </c>
      <c r="D316" s="1" t="s">
        <v>37</v>
      </c>
      <c r="E316" s="1" t="s">
        <v>65</v>
      </c>
      <c r="F316" s="1" t="s">
        <v>17</v>
      </c>
      <c r="G316" s="1" t="s">
        <v>18</v>
      </c>
      <c r="H316" s="1" t="s">
        <v>19</v>
      </c>
      <c r="I316" s="1" t="s">
        <v>27</v>
      </c>
      <c r="J316" s="1">
        <v>3</v>
      </c>
      <c r="K316" s="3">
        <v>83.06</v>
      </c>
      <c r="L316" s="4">
        <v>7.0000000000000007E-2</v>
      </c>
      <c r="M316" s="3">
        <v>231.73</v>
      </c>
      <c r="N316" s="3">
        <v>39.229999999999997</v>
      </c>
    </row>
    <row r="317" spans="1:14" x14ac:dyDescent="0.45">
      <c r="A317" s="1" t="s">
        <v>383</v>
      </c>
      <c r="B317" s="2">
        <v>45141</v>
      </c>
      <c r="C317" s="1" t="s">
        <v>14</v>
      </c>
      <c r="D317" s="1" t="s">
        <v>80</v>
      </c>
      <c r="E317" s="1" t="s">
        <v>65</v>
      </c>
      <c r="F317" s="1" t="s">
        <v>24</v>
      </c>
      <c r="G317" s="1" t="s">
        <v>66</v>
      </c>
      <c r="H317" s="1" t="s">
        <v>26</v>
      </c>
      <c r="I317" s="1" t="s">
        <v>42</v>
      </c>
      <c r="J317" s="1">
        <v>8</v>
      </c>
      <c r="K317" s="3">
        <v>395.6</v>
      </c>
      <c r="L317" s="4">
        <v>0</v>
      </c>
      <c r="M317" s="3">
        <v>3164.77</v>
      </c>
      <c r="N317" s="3">
        <v>530.21</v>
      </c>
    </row>
    <row r="318" spans="1:14" x14ac:dyDescent="0.45">
      <c r="A318" s="1" t="s">
        <v>384</v>
      </c>
      <c r="B318" s="2">
        <v>45155</v>
      </c>
      <c r="C318" s="1" t="s">
        <v>29</v>
      </c>
      <c r="D318" s="1" t="s">
        <v>30</v>
      </c>
      <c r="E318" s="1" t="s">
        <v>60</v>
      </c>
      <c r="F318" s="1" t="s">
        <v>32</v>
      </c>
      <c r="G318" s="1" t="s">
        <v>18</v>
      </c>
      <c r="H318" s="1" t="s">
        <v>19</v>
      </c>
      <c r="I318" s="1" t="s">
        <v>39</v>
      </c>
      <c r="J318" s="1">
        <v>10</v>
      </c>
      <c r="K318" s="3">
        <v>47.72</v>
      </c>
      <c r="L318" s="4">
        <v>7.0000000000000007E-2</v>
      </c>
      <c r="M318" s="3">
        <v>443.79</v>
      </c>
      <c r="N318" s="3">
        <v>40.18</v>
      </c>
    </row>
    <row r="319" spans="1:14" x14ac:dyDescent="0.45">
      <c r="A319" s="1" t="s">
        <v>385</v>
      </c>
      <c r="B319" s="2">
        <v>45169</v>
      </c>
      <c r="C319" s="1" t="s">
        <v>29</v>
      </c>
      <c r="D319" s="1" t="s">
        <v>30</v>
      </c>
      <c r="E319" s="1" t="s">
        <v>38</v>
      </c>
      <c r="F319" s="1" t="s">
        <v>32</v>
      </c>
      <c r="G319" s="1" t="s">
        <v>57</v>
      </c>
      <c r="H319" s="1" t="s">
        <v>51</v>
      </c>
      <c r="I319" s="1" t="s">
        <v>39</v>
      </c>
      <c r="J319" s="1">
        <v>16</v>
      </c>
      <c r="K319" s="3">
        <v>46.48</v>
      </c>
      <c r="L319" s="4">
        <v>0.03</v>
      </c>
      <c r="M319" s="3">
        <v>721.38</v>
      </c>
      <c r="N319" s="3">
        <v>105.64</v>
      </c>
    </row>
    <row r="320" spans="1:14" x14ac:dyDescent="0.45">
      <c r="A320" s="1" t="s">
        <v>386</v>
      </c>
      <c r="B320" s="2">
        <v>45196</v>
      </c>
      <c r="C320" s="1" t="s">
        <v>14</v>
      </c>
      <c r="D320" s="1" t="s">
        <v>15</v>
      </c>
      <c r="E320" s="1" t="s">
        <v>73</v>
      </c>
      <c r="F320" s="1" t="s">
        <v>32</v>
      </c>
      <c r="G320" s="1" t="s">
        <v>46</v>
      </c>
      <c r="H320" s="1" t="s">
        <v>26</v>
      </c>
      <c r="I320" s="1" t="s">
        <v>67</v>
      </c>
      <c r="J320" s="1">
        <v>9</v>
      </c>
      <c r="K320" s="3">
        <v>98.66</v>
      </c>
      <c r="L320" s="4">
        <v>0.05</v>
      </c>
      <c r="M320" s="3">
        <v>843.53</v>
      </c>
      <c r="N320" s="3">
        <v>208.31</v>
      </c>
    </row>
    <row r="321" spans="1:14" x14ac:dyDescent="0.45">
      <c r="A321" s="1" t="s">
        <v>387</v>
      </c>
      <c r="B321" s="2">
        <v>45195</v>
      </c>
      <c r="C321" s="1" t="s">
        <v>48</v>
      </c>
      <c r="D321" s="1" t="s">
        <v>91</v>
      </c>
      <c r="E321" s="1" t="s">
        <v>16</v>
      </c>
      <c r="F321" s="1" t="s">
        <v>32</v>
      </c>
      <c r="G321" s="1" t="s">
        <v>74</v>
      </c>
      <c r="H321" s="1" t="s">
        <v>26</v>
      </c>
      <c r="I321" s="1" t="s">
        <v>35</v>
      </c>
      <c r="J321" s="1">
        <v>2</v>
      </c>
      <c r="K321" s="3">
        <v>584.28</v>
      </c>
      <c r="L321" s="4">
        <v>0.1</v>
      </c>
      <c r="M321" s="3">
        <v>1051.71</v>
      </c>
      <c r="N321" s="3">
        <v>80.87</v>
      </c>
    </row>
    <row r="322" spans="1:14" x14ac:dyDescent="0.45">
      <c r="A322" s="1" t="s">
        <v>388</v>
      </c>
      <c r="B322" s="2">
        <v>45177</v>
      </c>
      <c r="C322" s="1" t="s">
        <v>48</v>
      </c>
      <c r="D322" s="1" t="s">
        <v>78</v>
      </c>
      <c r="E322" s="1" t="s">
        <v>56</v>
      </c>
      <c r="F322" s="1" t="s">
        <v>17</v>
      </c>
      <c r="G322" s="1" t="s">
        <v>74</v>
      </c>
      <c r="H322" s="1" t="s">
        <v>26</v>
      </c>
      <c r="I322" s="1" t="s">
        <v>39</v>
      </c>
      <c r="J322" s="1">
        <v>3</v>
      </c>
      <c r="K322" s="3">
        <v>520.83000000000004</v>
      </c>
      <c r="L322" s="4">
        <v>0</v>
      </c>
      <c r="M322" s="3">
        <v>1562.48</v>
      </c>
      <c r="N322" s="3">
        <v>315.61</v>
      </c>
    </row>
    <row r="323" spans="1:14" x14ac:dyDescent="0.45">
      <c r="A323" s="1" t="s">
        <v>389</v>
      </c>
      <c r="B323" s="2">
        <v>45175</v>
      </c>
      <c r="C323" s="1" t="s">
        <v>14</v>
      </c>
      <c r="D323" s="1" t="s">
        <v>80</v>
      </c>
      <c r="E323" s="1" t="s">
        <v>31</v>
      </c>
      <c r="F323" s="1" t="s">
        <v>17</v>
      </c>
      <c r="G323" s="1" t="s">
        <v>66</v>
      </c>
      <c r="H323" s="1" t="s">
        <v>26</v>
      </c>
      <c r="I323" s="1" t="s">
        <v>42</v>
      </c>
      <c r="J323" s="1">
        <v>3</v>
      </c>
      <c r="K323" s="3">
        <v>456.34</v>
      </c>
      <c r="L323" s="4">
        <v>0.03</v>
      </c>
      <c r="M323" s="3">
        <v>1327.96</v>
      </c>
      <c r="N323" s="3">
        <v>168.63</v>
      </c>
    </row>
    <row r="324" spans="1:14" x14ac:dyDescent="0.45">
      <c r="A324" s="1" t="s">
        <v>390</v>
      </c>
      <c r="B324" s="2">
        <v>45195</v>
      </c>
      <c r="C324" s="1" t="s">
        <v>14</v>
      </c>
      <c r="D324" s="1" t="s">
        <v>80</v>
      </c>
      <c r="E324" s="1" t="s">
        <v>60</v>
      </c>
      <c r="F324" s="1" t="s">
        <v>24</v>
      </c>
      <c r="G324" s="1" t="s">
        <v>50</v>
      </c>
      <c r="H324" s="1" t="s">
        <v>51</v>
      </c>
      <c r="I324" s="1" t="s">
        <v>35</v>
      </c>
      <c r="J324" s="1">
        <v>5</v>
      </c>
      <c r="K324" s="3">
        <v>408.99</v>
      </c>
      <c r="L324" s="4">
        <v>0</v>
      </c>
      <c r="M324" s="3">
        <v>2044.95</v>
      </c>
      <c r="N324" s="3">
        <v>416.2</v>
      </c>
    </row>
    <row r="325" spans="1:14" x14ac:dyDescent="0.45">
      <c r="A325" s="1" t="s">
        <v>391</v>
      </c>
      <c r="B325" s="2">
        <v>45196</v>
      </c>
      <c r="C325" s="1" t="s">
        <v>29</v>
      </c>
      <c r="D325" s="1" t="s">
        <v>30</v>
      </c>
      <c r="E325" s="1" t="s">
        <v>56</v>
      </c>
      <c r="F325" s="1" t="s">
        <v>17</v>
      </c>
      <c r="G325" s="1" t="s">
        <v>61</v>
      </c>
      <c r="H325" s="1" t="s">
        <v>51</v>
      </c>
      <c r="I325" s="1" t="s">
        <v>67</v>
      </c>
      <c r="J325" s="1">
        <v>5</v>
      </c>
      <c r="K325" s="3">
        <v>59.99</v>
      </c>
      <c r="L325" s="4">
        <v>7.0000000000000007E-2</v>
      </c>
      <c r="M325" s="3">
        <v>278.97000000000003</v>
      </c>
      <c r="N325" s="3">
        <v>3.76</v>
      </c>
    </row>
    <row r="326" spans="1:14" x14ac:dyDescent="0.45">
      <c r="A326" s="1" t="s">
        <v>392</v>
      </c>
      <c r="B326" s="2">
        <v>45189</v>
      </c>
      <c r="C326" s="1" t="s">
        <v>29</v>
      </c>
      <c r="D326" s="1" t="s">
        <v>44</v>
      </c>
      <c r="E326" s="1" t="s">
        <v>60</v>
      </c>
      <c r="F326" s="1" t="s">
        <v>24</v>
      </c>
      <c r="G326" s="1" t="s">
        <v>18</v>
      </c>
      <c r="H326" s="1" t="s">
        <v>19</v>
      </c>
      <c r="I326" s="1" t="s">
        <v>39</v>
      </c>
      <c r="J326" s="1">
        <v>17</v>
      </c>
      <c r="K326" s="3">
        <v>31.13</v>
      </c>
      <c r="L326" s="4">
        <v>0.03</v>
      </c>
      <c r="M326" s="3">
        <v>513.25</v>
      </c>
      <c r="N326" s="3">
        <v>54.69</v>
      </c>
    </row>
    <row r="327" spans="1:14" x14ac:dyDescent="0.45">
      <c r="A327" s="1" t="s">
        <v>393</v>
      </c>
      <c r="B327" s="2">
        <v>45184</v>
      </c>
      <c r="C327" s="1" t="s">
        <v>14</v>
      </c>
      <c r="D327" s="1" t="s">
        <v>80</v>
      </c>
      <c r="E327" s="1" t="s">
        <v>16</v>
      </c>
      <c r="F327" s="1" t="s">
        <v>17</v>
      </c>
      <c r="G327" s="1" t="s">
        <v>46</v>
      </c>
      <c r="H327" s="1" t="s">
        <v>26</v>
      </c>
      <c r="I327" s="1" t="s">
        <v>42</v>
      </c>
      <c r="J327" s="1">
        <v>8</v>
      </c>
      <c r="K327" s="3">
        <v>414.57</v>
      </c>
      <c r="L327" s="4">
        <v>0.03</v>
      </c>
      <c r="M327" s="3">
        <v>3217.09</v>
      </c>
      <c r="N327" s="3">
        <v>465.94</v>
      </c>
    </row>
    <row r="328" spans="1:14" x14ac:dyDescent="0.45">
      <c r="A328" s="1" t="s">
        <v>394</v>
      </c>
      <c r="B328" s="2">
        <v>45190</v>
      </c>
      <c r="C328" s="1" t="s">
        <v>29</v>
      </c>
      <c r="D328" s="1" t="s">
        <v>44</v>
      </c>
      <c r="E328" s="1" t="s">
        <v>63</v>
      </c>
      <c r="F328" s="1" t="s">
        <v>17</v>
      </c>
      <c r="G328" s="1" t="s">
        <v>57</v>
      </c>
      <c r="H328" s="1" t="s">
        <v>51</v>
      </c>
      <c r="I328" s="1" t="s">
        <v>20</v>
      </c>
      <c r="J328" s="1">
        <v>11</v>
      </c>
      <c r="K328" s="3">
        <v>33.67</v>
      </c>
      <c r="L328" s="4">
        <v>0.05</v>
      </c>
      <c r="M328" s="3">
        <v>351.86</v>
      </c>
      <c r="N328" s="3">
        <v>51.25</v>
      </c>
    </row>
    <row r="329" spans="1:14" x14ac:dyDescent="0.45">
      <c r="A329" s="1" t="s">
        <v>395</v>
      </c>
      <c r="B329" s="2">
        <v>45195</v>
      </c>
      <c r="C329" s="1" t="s">
        <v>48</v>
      </c>
      <c r="D329" s="1" t="s">
        <v>78</v>
      </c>
      <c r="E329" s="1" t="s">
        <v>95</v>
      </c>
      <c r="F329" s="1" t="s">
        <v>32</v>
      </c>
      <c r="G329" s="1" t="s">
        <v>66</v>
      </c>
      <c r="H329" s="1" t="s">
        <v>26</v>
      </c>
      <c r="I329" s="1" t="s">
        <v>20</v>
      </c>
      <c r="J329" s="1">
        <v>7</v>
      </c>
      <c r="K329" s="3">
        <v>570.02</v>
      </c>
      <c r="L329" s="4">
        <v>7.0000000000000007E-2</v>
      </c>
      <c r="M329" s="3">
        <v>3710.82</v>
      </c>
      <c r="N329" s="3">
        <v>875.26</v>
      </c>
    </row>
    <row r="330" spans="1:14" x14ac:dyDescent="0.45">
      <c r="A330" s="1" t="s">
        <v>396</v>
      </c>
      <c r="B330" s="2">
        <v>45191</v>
      </c>
      <c r="C330" s="1" t="s">
        <v>14</v>
      </c>
      <c r="D330" s="1" t="s">
        <v>22</v>
      </c>
      <c r="E330" s="1" t="s">
        <v>23</v>
      </c>
      <c r="F330" s="1" t="s">
        <v>32</v>
      </c>
      <c r="G330" s="1" t="s">
        <v>18</v>
      </c>
      <c r="H330" s="1" t="s">
        <v>19</v>
      </c>
      <c r="I330" s="1" t="s">
        <v>20</v>
      </c>
      <c r="J330" s="1">
        <v>1</v>
      </c>
      <c r="K330" s="3">
        <v>1417.56</v>
      </c>
      <c r="L330" s="4">
        <v>0</v>
      </c>
      <c r="M330" s="3">
        <v>1417.56</v>
      </c>
      <c r="N330" s="3">
        <v>251.55</v>
      </c>
    </row>
    <row r="331" spans="1:14" x14ac:dyDescent="0.45">
      <c r="A331" s="1" t="s">
        <v>397</v>
      </c>
      <c r="B331" s="2">
        <v>45194</v>
      </c>
      <c r="C331" s="1" t="s">
        <v>14</v>
      </c>
      <c r="D331" s="1" t="s">
        <v>80</v>
      </c>
      <c r="E331" s="1" t="s">
        <v>81</v>
      </c>
      <c r="F331" s="1" t="s">
        <v>32</v>
      </c>
      <c r="G331" s="1" t="s">
        <v>25</v>
      </c>
      <c r="H331" s="1" t="s">
        <v>26</v>
      </c>
      <c r="I331" s="1" t="s">
        <v>39</v>
      </c>
      <c r="J331" s="1">
        <v>7</v>
      </c>
      <c r="K331" s="3">
        <v>423.76</v>
      </c>
      <c r="L331" s="4">
        <v>0</v>
      </c>
      <c r="M331" s="3">
        <v>2966.33</v>
      </c>
      <c r="N331" s="3">
        <v>662.97</v>
      </c>
    </row>
    <row r="332" spans="1:14" x14ac:dyDescent="0.45">
      <c r="A332" s="1" t="s">
        <v>398</v>
      </c>
      <c r="B332" s="2">
        <v>45184</v>
      </c>
      <c r="C332" s="1" t="s">
        <v>48</v>
      </c>
      <c r="D332" s="1" t="s">
        <v>91</v>
      </c>
      <c r="E332" s="1" t="s">
        <v>69</v>
      </c>
      <c r="F332" s="1" t="s">
        <v>24</v>
      </c>
      <c r="G332" s="1" t="s">
        <v>33</v>
      </c>
      <c r="H332" s="1" t="s">
        <v>34</v>
      </c>
      <c r="I332" s="1" t="s">
        <v>67</v>
      </c>
      <c r="J332" s="1">
        <v>6</v>
      </c>
      <c r="K332" s="3">
        <v>688.9</v>
      </c>
      <c r="L332" s="4">
        <v>0.03</v>
      </c>
      <c r="M332" s="3">
        <v>4009.42</v>
      </c>
      <c r="N332" s="3">
        <v>807.55</v>
      </c>
    </row>
    <row r="333" spans="1:14" x14ac:dyDescent="0.45">
      <c r="A333" s="1" t="s">
        <v>399</v>
      </c>
      <c r="B333" s="2">
        <v>45195</v>
      </c>
      <c r="C333" s="1" t="s">
        <v>14</v>
      </c>
      <c r="D333" s="1" t="s">
        <v>80</v>
      </c>
      <c r="E333" s="1" t="s">
        <v>45</v>
      </c>
      <c r="F333" s="1" t="s">
        <v>24</v>
      </c>
      <c r="G333" s="1" t="s">
        <v>54</v>
      </c>
      <c r="H333" s="1" t="s">
        <v>51</v>
      </c>
      <c r="I333" s="1" t="s">
        <v>20</v>
      </c>
      <c r="J333" s="1">
        <v>4</v>
      </c>
      <c r="K333" s="3">
        <v>486.26</v>
      </c>
      <c r="L333" s="4">
        <v>0.1</v>
      </c>
      <c r="M333" s="3">
        <v>1750.55</v>
      </c>
      <c r="N333" s="3">
        <v>247.74</v>
      </c>
    </row>
    <row r="334" spans="1:14" x14ac:dyDescent="0.45">
      <c r="A334" s="1" t="s">
        <v>400</v>
      </c>
      <c r="B334" s="2">
        <v>45184</v>
      </c>
      <c r="C334" s="1" t="s">
        <v>14</v>
      </c>
      <c r="D334" s="1" t="s">
        <v>15</v>
      </c>
      <c r="E334" s="1" t="s">
        <v>69</v>
      </c>
      <c r="F334" s="1" t="s">
        <v>17</v>
      </c>
      <c r="G334" s="1" t="s">
        <v>54</v>
      </c>
      <c r="H334" s="1" t="s">
        <v>51</v>
      </c>
      <c r="I334" s="1" t="s">
        <v>42</v>
      </c>
      <c r="J334" s="1">
        <v>7</v>
      </c>
      <c r="K334" s="3">
        <v>120.8</v>
      </c>
      <c r="L334" s="4">
        <v>0</v>
      </c>
      <c r="M334" s="3">
        <v>845.62</v>
      </c>
      <c r="N334" s="3">
        <v>141.93</v>
      </c>
    </row>
    <row r="335" spans="1:14" x14ac:dyDescent="0.45">
      <c r="A335" s="1" t="s">
        <v>401</v>
      </c>
      <c r="B335" s="2">
        <v>45204</v>
      </c>
      <c r="C335" s="1" t="s">
        <v>29</v>
      </c>
      <c r="D335" s="1" t="s">
        <v>44</v>
      </c>
      <c r="E335" s="1" t="s">
        <v>89</v>
      </c>
      <c r="F335" s="1" t="s">
        <v>32</v>
      </c>
      <c r="G335" s="1" t="s">
        <v>46</v>
      </c>
      <c r="H335" s="1" t="s">
        <v>26</v>
      </c>
      <c r="I335" s="1" t="s">
        <v>20</v>
      </c>
      <c r="J335" s="1">
        <v>16</v>
      </c>
      <c r="K335" s="3">
        <v>30.81</v>
      </c>
      <c r="L335" s="4">
        <v>7.0000000000000007E-2</v>
      </c>
      <c r="M335" s="3">
        <v>458.52</v>
      </c>
      <c r="N335" s="3">
        <v>72.94</v>
      </c>
    </row>
    <row r="336" spans="1:14" x14ac:dyDescent="0.45">
      <c r="A336" s="1" t="s">
        <v>402</v>
      </c>
      <c r="B336" s="2">
        <v>45212</v>
      </c>
      <c r="C336" s="1" t="s">
        <v>14</v>
      </c>
      <c r="D336" s="1" t="s">
        <v>15</v>
      </c>
      <c r="E336" s="1" t="s">
        <v>73</v>
      </c>
      <c r="F336" s="1" t="s">
        <v>24</v>
      </c>
      <c r="G336" s="1" t="s">
        <v>46</v>
      </c>
      <c r="H336" s="1" t="s">
        <v>26</v>
      </c>
      <c r="I336" s="1" t="s">
        <v>67</v>
      </c>
      <c r="J336" s="1">
        <v>11</v>
      </c>
      <c r="K336" s="3">
        <v>93.5</v>
      </c>
      <c r="L336" s="4">
        <v>0</v>
      </c>
      <c r="M336" s="3">
        <v>1028.45</v>
      </c>
      <c r="N336" s="3">
        <v>248.31</v>
      </c>
    </row>
    <row r="337" spans="1:14" x14ac:dyDescent="0.45">
      <c r="A337" s="1" t="s">
        <v>403</v>
      </c>
      <c r="B337" s="2">
        <v>45229</v>
      </c>
      <c r="C337" s="1" t="s">
        <v>48</v>
      </c>
      <c r="D337" s="1" t="s">
        <v>91</v>
      </c>
      <c r="E337" s="1" t="s">
        <v>81</v>
      </c>
      <c r="F337" s="1" t="s">
        <v>24</v>
      </c>
      <c r="G337" s="1" t="s">
        <v>18</v>
      </c>
      <c r="H337" s="1" t="s">
        <v>19</v>
      </c>
      <c r="I337" s="1" t="s">
        <v>42</v>
      </c>
      <c r="J337" s="1">
        <v>5</v>
      </c>
      <c r="K337" s="3">
        <v>580.4</v>
      </c>
      <c r="L337" s="4">
        <v>7.0000000000000007E-2</v>
      </c>
      <c r="M337" s="3">
        <v>2698.87</v>
      </c>
      <c r="N337" s="3">
        <v>489.29</v>
      </c>
    </row>
    <row r="338" spans="1:14" x14ac:dyDescent="0.45">
      <c r="A338" s="1" t="s">
        <v>404</v>
      </c>
      <c r="B338" s="2">
        <v>45202</v>
      </c>
      <c r="C338" s="1" t="s">
        <v>29</v>
      </c>
      <c r="D338" s="1" t="s">
        <v>37</v>
      </c>
      <c r="E338" s="1" t="s">
        <v>56</v>
      </c>
      <c r="F338" s="1" t="s">
        <v>24</v>
      </c>
      <c r="G338" s="1" t="s">
        <v>46</v>
      </c>
      <c r="H338" s="1" t="s">
        <v>26</v>
      </c>
      <c r="I338" s="1" t="s">
        <v>27</v>
      </c>
      <c r="J338" s="1">
        <v>17</v>
      </c>
      <c r="K338" s="3">
        <v>90.72</v>
      </c>
      <c r="L338" s="4">
        <v>0.03</v>
      </c>
      <c r="M338" s="3">
        <v>1495.95</v>
      </c>
      <c r="N338" s="3">
        <v>346.18</v>
      </c>
    </row>
    <row r="339" spans="1:14" x14ac:dyDescent="0.45">
      <c r="A339" s="1" t="s">
        <v>405</v>
      </c>
      <c r="B339" s="2">
        <v>45217</v>
      </c>
      <c r="C339" s="1" t="s">
        <v>48</v>
      </c>
      <c r="D339" s="1" t="s">
        <v>78</v>
      </c>
      <c r="E339" s="1" t="s">
        <v>95</v>
      </c>
      <c r="F339" s="1" t="s">
        <v>32</v>
      </c>
      <c r="G339" s="1" t="s">
        <v>74</v>
      </c>
      <c r="H339" s="1" t="s">
        <v>26</v>
      </c>
      <c r="I339" s="1" t="s">
        <v>42</v>
      </c>
      <c r="J339" s="1">
        <v>4</v>
      </c>
      <c r="K339" s="3">
        <v>493.99</v>
      </c>
      <c r="L339" s="4">
        <v>0.1</v>
      </c>
      <c r="M339" s="3">
        <v>1778.36</v>
      </c>
      <c r="N339" s="3">
        <v>334.26</v>
      </c>
    </row>
    <row r="340" spans="1:14" x14ac:dyDescent="0.45">
      <c r="A340" s="1" t="s">
        <v>406</v>
      </c>
      <c r="B340" s="2">
        <v>45209</v>
      </c>
      <c r="C340" s="1" t="s">
        <v>48</v>
      </c>
      <c r="D340" s="1" t="s">
        <v>91</v>
      </c>
      <c r="E340" s="1" t="s">
        <v>73</v>
      </c>
      <c r="F340" s="1" t="s">
        <v>17</v>
      </c>
      <c r="G340" s="1" t="s">
        <v>33</v>
      </c>
      <c r="H340" s="1" t="s">
        <v>34</v>
      </c>
      <c r="I340" s="1" t="s">
        <v>35</v>
      </c>
      <c r="J340" s="1">
        <v>2</v>
      </c>
      <c r="K340" s="3">
        <v>688.73</v>
      </c>
      <c r="L340" s="4">
        <v>0.1</v>
      </c>
      <c r="M340" s="3">
        <v>1239.71</v>
      </c>
      <c r="N340" s="3">
        <v>109.25</v>
      </c>
    </row>
    <row r="341" spans="1:14" x14ac:dyDescent="0.45">
      <c r="A341" s="1" t="s">
        <v>407</v>
      </c>
      <c r="B341" s="2">
        <v>45222</v>
      </c>
      <c r="C341" s="1" t="s">
        <v>48</v>
      </c>
      <c r="D341" s="1" t="s">
        <v>91</v>
      </c>
      <c r="E341" s="1" t="s">
        <v>16</v>
      </c>
      <c r="F341" s="1" t="s">
        <v>32</v>
      </c>
      <c r="G341" s="1" t="s">
        <v>66</v>
      </c>
      <c r="H341" s="1" t="s">
        <v>26</v>
      </c>
      <c r="I341" s="1" t="s">
        <v>20</v>
      </c>
      <c r="J341" s="1">
        <v>5</v>
      </c>
      <c r="K341" s="3">
        <v>647.91</v>
      </c>
      <c r="L341" s="4">
        <v>0.03</v>
      </c>
      <c r="M341" s="3">
        <v>3142.38</v>
      </c>
      <c r="N341" s="3">
        <v>515.55999999999995</v>
      </c>
    </row>
    <row r="342" spans="1:14" x14ac:dyDescent="0.45">
      <c r="A342" s="1" t="s">
        <v>408</v>
      </c>
      <c r="B342" s="2">
        <v>45218</v>
      </c>
      <c r="C342" s="1" t="s">
        <v>14</v>
      </c>
      <c r="D342" s="1" t="s">
        <v>80</v>
      </c>
      <c r="E342" s="1" t="s">
        <v>87</v>
      </c>
      <c r="F342" s="1" t="s">
        <v>24</v>
      </c>
      <c r="G342" s="1" t="s">
        <v>54</v>
      </c>
      <c r="H342" s="1" t="s">
        <v>51</v>
      </c>
      <c r="I342" s="1" t="s">
        <v>67</v>
      </c>
      <c r="J342" s="1">
        <v>2</v>
      </c>
      <c r="K342" s="3">
        <v>466.22</v>
      </c>
      <c r="L342" s="4">
        <v>0</v>
      </c>
      <c r="M342" s="3">
        <v>932.44</v>
      </c>
      <c r="N342" s="3">
        <v>85.08</v>
      </c>
    </row>
    <row r="343" spans="1:14" x14ac:dyDescent="0.45">
      <c r="A343" s="1" t="s">
        <v>409</v>
      </c>
      <c r="B343" s="2">
        <v>45205</v>
      </c>
      <c r="C343" s="1" t="s">
        <v>48</v>
      </c>
      <c r="D343" s="1" t="s">
        <v>91</v>
      </c>
      <c r="E343" s="1" t="s">
        <v>38</v>
      </c>
      <c r="F343" s="1" t="s">
        <v>17</v>
      </c>
      <c r="G343" s="1" t="s">
        <v>61</v>
      </c>
      <c r="H343" s="1" t="s">
        <v>51</v>
      </c>
      <c r="I343" s="1" t="s">
        <v>20</v>
      </c>
      <c r="J343" s="1">
        <v>4</v>
      </c>
      <c r="K343" s="3">
        <v>628.98</v>
      </c>
      <c r="L343" s="4">
        <v>7.0000000000000007E-2</v>
      </c>
      <c r="M343" s="3">
        <v>2339.8000000000002</v>
      </c>
      <c r="N343" s="3">
        <v>423.92</v>
      </c>
    </row>
    <row r="344" spans="1:14" x14ac:dyDescent="0.45">
      <c r="A344" s="1" t="s">
        <v>410</v>
      </c>
      <c r="B344" s="2">
        <v>45209</v>
      </c>
      <c r="C344" s="1" t="s">
        <v>29</v>
      </c>
      <c r="D344" s="1" t="s">
        <v>37</v>
      </c>
      <c r="E344" s="1" t="s">
        <v>41</v>
      </c>
      <c r="F344" s="1" t="s">
        <v>32</v>
      </c>
      <c r="G344" s="1" t="s">
        <v>33</v>
      </c>
      <c r="H344" s="1" t="s">
        <v>34</v>
      </c>
      <c r="I344" s="1" t="s">
        <v>35</v>
      </c>
      <c r="J344" s="1">
        <v>7</v>
      </c>
      <c r="K344" s="3">
        <v>97.16</v>
      </c>
      <c r="L344" s="4">
        <v>0</v>
      </c>
      <c r="M344" s="3">
        <v>680.12</v>
      </c>
      <c r="N344" s="3">
        <v>92.23</v>
      </c>
    </row>
    <row r="345" spans="1:14" x14ac:dyDescent="0.45">
      <c r="A345" s="1" t="s">
        <v>411</v>
      </c>
      <c r="B345" s="2">
        <v>45201</v>
      </c>
      <c r="C345" s="1" t="s">
        <v>48</v>
      </c>
      <c r="D345" s="1" t="s">
        <v>49</v>
      </c>
      <c r="E345" s="1" t="s">
        <v>41</v>
      </c>
      <c r="F345" s="1" t="s">
        <v>17</v>
      </c>
      <c r="G345" s="1" t="s">
        <v>57</v>
      </c>
      <c r="H345" s="1" t="s">
        <v>51</v>
      </c>
      <c r="I345" s="1" t="s">
        <v>67</v>
      </c>
      <c r="J345" s="1">
        <v>7</v>
      </c>
      <c r="K345" s="3">
        <v>327.33</v>
      </c>
      <c r="L345" s="4">
        <v>0.05</v>
      </c>
      <c r="M345" s="3">
        <v>2176.75</v>
      </c>
      <c r="N345" s="3">
        <v>439.5</v>
      </c>
    </row>
    <row r="346" spans="1:14" x14ac:dyDescent="0.45">
      <c r="A346" s="1" t="s">
        <v>412</v>
      </c>
      <c r="B346" s="2">
        <v>45211</v>
      </c>
      <c r="C346" s="1" t="s">
        <v>14</v>
      </c>
      <c r="D346" s="1" t="s">
        <v>15</v>
      </c>
      <c r="E346" s="1" t="s">
        <v>92</v>
      </c>
      <c r="F346" s="1" t="s">
        <v>17</v>
      </c>
      <c r="G346" s="1" t="s">
        <v>25</v>
      </c>
      <c r="H346" s="1" t="s">
        <v>26</v>
      </c>
      <c r="I346" s="1" t="s">
        <v>35</v>
      </c>
      <c r="J346" s="1">
        <v>18</v>
      </c>
      <c r="K346" s="3">
        <v>97.75</v>
      </c>
      <c r="L346" s="4">
        <v>0.1</v>
      </c>
      <c r="M346" s="3">
        <v>1583.57</v>
      </c>
      <c r="N346" s="3">
        <v>302.95</v>
      </c>
    </row>
    <row r="347" spans="1:14" x14ac:dyDescent="0.45">
      <c r="A347" s="1" t="s">
        <v>413</v>
      </c>
      <c r="B347" s="2">
        <v>45224</v>
      </c>
      <c r="C347" s="1" t="s">
        <v>48</v>
      </c>
      <c r="D347" s="1" t="s">
        <v>91</v>
      </c>
      <c r="E347" s="1" t="s">
        <v>56</v>
      </c>
      <c r="F347" s="1" t="s">
        <v>17</v>
      </c>
      <c r="G347" s="1" t="s">
        <v>18</v>
      </c>
      <c r="H347" s="1" t="s">
        <v>19</v>
      </c>
      <c r="I347" s="1" t="s">
        <v>39</v>
      </c>
      <c r="J347" s="1">
        <v>5</v>
      </c>
      <c r="K347" s="3">
        <v>578.61</v>
      </c>
      <c r="L347" s="4">
        <v>0</v>
      </c>
      <c r="M347" s="3">
        <v>2893.04</v>
      </c>
      <c r="N347" s="3">
        <v>482.09</v>
      </c>
    </row>
    <row r="348" spans="1:14" x14ac:dyDescent="0.45">
      <c r="A348" s="1" t="s">
        <v>414</v>
      </c>
      <c r="B348" s="2">
        <v>45218</v>
      </c>
      <c r="C348" s="1" t="s">
        <v>48</v>
      </c>
      <c r="D348" s="1" t="s">
        <v>78</v>
      </c>
      <c r="E348" s="1" t="s">
        <v>31</v>
      </c>
      <c r="F348" s="1" t="s">
        <v>24</v>
      </c>
      <c r="G348" s="1" t="s">
        <v>46</v>
      </c>
      <c r="H348" s="1" t="s">
        <v>26</v>
      </c>
      <c r="I348" s="1" t="s">
        <v>20</v>
      </c>
      <c r="J348" s="1">
        <v>6</v>
      </c>
      <c r="K348" s="3">
        <v>520.03</v>
      </c>
      <c r="L348" s="4">
        <v>0.05</v>
      </c>
      <c r="M348" s="3">
        <v>2964.17</v>
      </c>
      <c r="N348" s="3">
        <v>612.36</v>
      </c>
    </row>
    <row r="349" spans="1:14" x14ac:dyDescent="0.45">
      <c r="A349" s="1" t="s">
        <v>415</v>
      </c>
      <c r="B349" s="2">
        <v>45202</v>
      </c>
      <c r="C349" s="1" t="s">
        <v>14</v>
      </c>
      <c r="D349" s="1" t="s">
        <v>22</v>
      </c>
      <c r="E349" s="1" t="s">
        <v>56</v>
      </c>
      <c r="F349" s="1" t="s">
        <v>17</v>
      </c>
      <c r="G349" s="1" t="s">
        <v>25</v>
      </c>
      <c r="H349" s="1" t="s">
        <v>26</v>
      </c>
      <c r="I349" s="1" t="s">
        <v>42</v>
      </c>
      <c r="J349" s="1">
        <v>1</v>
      </c>
      <c r="K349" s="3">
        <v>1520.61</v>
      </c>
      <c r="L349" s="4">
        <v>0</v>
      </c>
      <c r="M349" s="3">
        <v>1520.61</v>
      </c>
      <c r="N349" s="3">
        <v>122.96</v>
      </c>
    </row>
    <row r="350" spans="1:14" x14ac:dyDescent="0.45">
      <c r="A350" s="1" t="s">
        <v>416</v>
      </c>
      <c r="B350" s="2">
        <v>45204</v>
      </c>
      <c r="C350" s="1" t="s">
        <v>29</v>
      </c>
      <c r="D350" s="1" t="s">
        <v>37</v>
      </c>
      <c r="E350" s="1" t="s">
        <v>73</v>
      </c>
      <c r="F350" s="1" t="s">
        <v>24</v>
      </c>
      <c r="G350" s="1" t="s">
        <v>18</v>
      </c>
      <c r="H350" s="1" t="s">
        <v>19</v>
      </c>
      <c r="I350" s="1" t="s">
        <v>27</v>
      </c>
      <c r="J350" s="1">
        <v>3</v>
      </c>
      <c r="K350" s="3">
        <v>89.46</v>
      </c>
      <c r="L350" s="4">
        <v>0.1</v>
      </c>
      <c r="M350" s="3">
        <v>241.53</v>
      </c>
      <c r="N350" s="3">
        <v>46.82</v>
      </c>
    </row>
    <row r="351" spans="1:14" x14ac:dyDescent="0.45">
      <c r="A351" s="1" t="s">
        <v>417</v>
      </c>
      <c r="B351" s="2">
        <v>45215</v>
      </c>
      <c r="C351" s="1" t="s">
        <v>29</v>
      </c>
      <c r="D351" s="1" t="s">
        <v>44</v>
      </c>
      <c r="E351" s="1" t="s">
        <v>63</v>
      </c>
      <c r="F351" s="1" t="s">
        <v>24</v>
      </c>
      <c r="G351" s="1" t="s">
        <v>61</v>
      </c>
      <c r="H351" s="1" t="s">
        <v>51</v>
      </c>
      <c r="I351" s="1" t="s">
        <v>35</v>
      </c>
      <c r="J351" s="1">
        <v>17</v>
      </c>
      <c r="K351" s="3">
        <v>35.590000000000003</v>
      </c>
      <c r="L351" s="4">
        <v>0</v>
      </c>
      <c r="M351" s="3">
        <v>605.05999999999995</v>
      </c>
      <c r="N351" s="3">
        <v>87.1</v>
      </c>
    </row>
    <row r="352" spans="1:14" x14ac:dyDescent="0.45">
      <c r="A352" s="1" t="s">
        <v>418</v>
      </c>
      <c r="B352" s="2">
        <v>45245</v>
      </c>
      <c r="C352" s="1" t="s">
        <v>48</v>
      </c>
      <c r="D352" s="1" t="s">
        <v>49</v>
      </c>
      <c r="E352" s="1" t="s">
        <v>81</v>
      </c>
      <c r="F352" s="1" t="s">
        <v>24</v>
      </c>
      <c r="G352" s="1" t="s">
        <v>50</v>
      </c>
      <c r="H352" s="1" t="s">
        <v>51</v>
      </c>
      <c r="I352" s="1" t="s">
        <v>67</v>
      </c>
      <c r="J352" s="1">
        <v>3</v>
      </c>
      <c r="K352" s="3">
        <v>362.41</v>
      </c>
      <c r="L352" s="4">
        <v>0</v>
      </c>
      <c r="M352" s="3">
        <v>1087.22</v>
      </c>
      <c r="N352" s="3">
        <v>171.47</v>
      </c>
    </row>
    <row r="353" spans="1:14" x14ac:dyDescent="0.45">
      <c r="A353" s="1" t="s">
        <v>419</v>
      </c>
      <c r="B353" s="2">
        <v>45238</v>
      </c>
      <c r="C353" s="1" t="s">
        <v>14</v>
      </c>
      <c r="D353" s="1" t="s">
        <v>22</v>
      </c>
      <c r="E353" s="1" t="s">
        <v>95</v>
      </c>
      <c r="F353" s="1" t="s">
        <v>24</v>
      </c>
      <c r="G353" s="1" t="s">
        <v>57</v>
      </c>
      <c r="H353" s="1" t="s">
        <v>51</v>
      </c>
      <c r="I353" s="1" t="s">
        <v>20</v>
      </c>
      <c r="J353" s="1">
        <v>5</v>
      </c>
      <c r="K353" s="3">
        <v>1554.31</v>
      </c>
      <c r="L353" s="4">
        <v>0</v>
      </c>
      <c r="M353" s="3">
        <v>7771.54</v>
      </c>
      <c r="N353" s="3">
        <v>1266.24</v>
      </c>
    </row>
    <row r="354" spans="1:14" x14ac:dyDescent="0.45">
      <c r="A354" s="1" t="s">
        <v>420</v>
      </c>
      <c r="B354" s="2">
        <v>45259</v>
      </c>
      <c r="C354" s="1" t="s">
        <v>14</v>
      </c>
      <c r="D354" s="1" t="s">
        <v>15</v>
      </c>
      <c r="E354" s="1" t="s">
        <v>95</v>
      </c>
      <c r="F354" s="1" t="s">
        <v>24</v>
      </c>
      <c r="G354" s="1" t="s">
        <v>57</v>
      </c>
      <c r="H354" s="1" t="s">
        <v>51</v>
      </c>
      <c r="I354" s="1" t="s">
        <v>39</v>
      </c>
      <c r="J354" s="1">
        <v>12</v>
      </c>
      <c r="K354" s="3">
        <v>97.33</v>
      </c>
      <c r="L354" s="4">
        <v>0</v>
      </c>
      <c r="M354" s="3">
        <v>1167.97</v>
      </c>
      <c r="N354" s="3">
        <v>244.98</v>
      </c>
    </row>
    <row r="355" spans="1:14" x14ac:dyDescent="0.45">
      <c r="A355" s="1" t="s">
        <v>421</v>
      </c>
      <c r="B355" s="2">
        <v>45245</v>
      </c>
      <c r="C355" s="1" t="s">
        <v>48</v>
      </c>
      <c r="D355" s="1" t="s">
        <v>91</v>
      </c>
      <c r="E355" s="1" t="s">
        <v>41</v>
      </c>
      <c r="F355" s="1" t="s">
        <v>24</v>
      </c>
      <c r="G355" s="1" t="s">
        <v>33</v>
      </c>
      <c r="H355" s="1" t="s">
        <v>34</v>
      </c>
      <c r="I355" s="1" t="s">
        <v>27</v>
      </c>
      <c r="J355" s="1">
        <v>2</v>
      </c>
      <c r="K355" s="3">
        <v>783.45</v>
      </c>
      <c r="L355" s="4">
        <v>0.1</v>
      </c>
      <c r="M355" s="3">
        <v>1410.2</v>
      </c>
      <c r="N355" s="3">
        <v>116.27</v>
      </c>
    </row>
    <row r="356" spans="1:14" x14ac:dyDescent="0.45">
      <c r="A356" s="1" t="s">
        <v>422</v>
      </c>
      <c r="B356" s="2">
        <v>45236</v>
      </c>
      <c r="C356" s="1" t="s">
        <v>29</v>
      </c>
      <c r="D356" s="1" t="s">
        <v>44</v>
      </c>
      <c r="E356" s="1" t="s">
        <v>63</v>
      </c>
      <c r="F356" s="1" t="s">
        <v>17</v>
      </c>
      <c r="G356" s="1" t="s">
        <v>54</v>
      </c>
      <c r="H356" s="1" t="s">
        <v>51</v>
      </c>
      <c r="I356" s="1" t="s">
        <v>27</v>
      </c>
      <c r="J356" s="1">
        <v>11</v>
      </c>
      <c r="K356" s="3">
        <v>40.54</v>
      </c>
      <c r="L356" s="4">
        <v>0.1</v>
      </c>
      <c r="M356" s="3">
        <v>401.39</v>
      </c>
      <c r="N356" s="3">
        <v>24.58</v>
      </c>
    </row>
    <row r="357" spans="1:14" x14ac:dyDescent="0.45">
      <c r="A357" s="1" t="s">
        <v>423</v>
      </c>
      <c r="B357" s="2">
        <v>45246</v>
      </c>
      <c r="C357" s="1" t="s">
        <v>14</v>
      </c>
      <c r="D357" s="1" t="s">
        <v>22</v>
      </c>
      <c r="E357" s="1" t="s">
        <v>45</v>
      </c>
      <c r="F357" s="1" t="s">
        <v>32</v>
      </c>
      <c r="G357" s="1" t="s">
        <v>33</v>
      </c>
      <c r="H357" s="1" t="s">
        <v>34</v>
      </c>
      <c r="I357" s="1" t="s">
        <v>35</v>
      </c>
      <c r="J357" s="1">
        <v>8</v>
      </c>
      <c r="K357" s="3">
        <v>1895.72</v>
      </c>
      <c r="L357" s="4">
        <v>0.03</v>
      </c>
      <c r="M357" s="3">
        <v>14710.79</v>
      </c>
      <c r="N357" s="3">
        <v>3186.9</v>
      </c>
    </row>
    <row r="358" spans="1:14" x14ac:dyDescent="0.45">
      <c r="A358" s="1" t="s">
        <v>424</v>
      </c>
      <c r="B358" s="2">
        <v>45238</v>
      </c>
      <c r="C358" s="1" t="s">
        <v>14</v>
      </c>
      <c r="D358" s="1" t="s">
        <v>22</v>
      </c>
      <c r="E358" s="1" t="s">
        <v>60</v>
      </c>
      <c r="F358" s="1" t="s">
        <v>32</v>
      </c>
      <c r="G358" s="1" t="s">
        <v>61</v>
      </c>
      <c r="H358" s="1" t="s">
        <v>51</v>
      </c>
      <c r="I358" s="1" t="s">
        <v>35</v>
      </c>
      <c r="J358" s="1">
        <v>7</v>
      </c>
      <c r="K358" s="3">
        <v>1701.74</v>
      </c>
      <c r="L358" s="4">
        <v>0.05</v>
      </c>
      <c r="M358" s="3">
        <v>11316.56</v>
      </c>
      <c r="N358" s="3">
        <v>2299.39</v>
      </c>
    </row>
    <row r="359" spans="1:14" x14ac:dyDescent="0.45">
      <c r="A359" s="1" t="s">
        <v>425</v>
      </c>
      <c r="B359" s="2">
        <v>45247</v>
      </c>
      <c r="C359" s="1" t="s">
        <v>14</v>
      </c>
      <c r="D359" s="1" t="s">
        <v>22</v>
      </c>
      <c r="E359" s="1" t="s">
        <v>45</v>
      </c>
      <c r="F359" s="1" t="s">
        <v>17</v>
      </c>
      <c r="G359" s="1" t="s">
        <v>54</v>
      </c>
      <c r="H359" s="1" t="s">
        <v>51</v>
      </c>
      <c r="I359" s="1" t="s">
        <v>39</v>
      </c>
      <c r="J359" s="1">
        <v>8</v>
      </c>
      <c r="K359" s="3">
        <v>1923.14</v>
      </c>
      <c r="L359" s="4">
        <v>0.1</v>
      </c>
      <c r="M359" s="3">
        <v>13846.58</v>
      </c>
      <c r="N359" s="3">
        <v>2389.25</v>
      </c>
    </row>
    <row r="360" spans="1:14" x14ac:dyDescent="0.45">
      <c r="A360" s="1" t="s">
        <v>426</v>
      </c>
      <c r="B360" s="2">
        <v>45257</v>
      </c>
      <c r="C360" s="1" t="s">
        <v>48</v>
      </c>
      <c r="D360" s="1" t="s">
        <v>49</v>
      </c>
      <c r="E360" s="1" t="s">
        <v>69</v>
      </c>
      <c r="F360" s="1" t="s">
        <v>32</v>
      </c>
      <c r="G360" s="1" t="s">
        <v>33</v>
      </c>
      <c r="H360" s="1" t="s">
        <v>34</v>
      </c>
      <c r="I360" s="1" t="s">
        <v>27</v>
      </c>
      <c r="J360" s="1">
        <v>7</v>
      </c>
      <c r="K360" s="3">
        <v>410.31</v>
      </c>
      <c r="L360" s="4">
        <v>0</v>
      </c>
      <c r="M360" s="3">
        <v>2872.16</v>
      </c>
      <c r="N360" s="3">
        <v>580.91999999999996</v>
      </c>
    </row>
    <row r="361" spans="1:14" x14ac:dyDescent="0.45">
      <c r="A361" s="1" t="s">
        <v>427</v>
      </c>
      <c r="B361" s="2">
        <v>45250</v>
      </c>
      <c r="C361" s="1" t="s">
        <v>48</v>
      </c>
      <c r="D361" s="1" t="s">
        <v>78</v>
      </c>
      <c r="E361" s="1" t="s">
        <v>16</v>
      </c>
      <c r="F361" s="1" t="s">
        <v>24</v>
      </c>
      <c r="G361" s="1" t="s">
        <v>74</v>
      </c>
      <c r="H361" s="1" t="s">
        <v>26</v>
      </c>
      <c r="I361" s="1" t="s">
        <v>35</v>
      </c>
      <c r="J361" s="1">
        <v>2</v>
      </c>
      <c r="K361" s="3">
        <v>511.77</v>
      </c>
      <c r="L361" s="4">
        <v>0.1</v>
      </c>
      <c r="M361" s="3">
        <v>921.18</v>
      </c>
      <c r="N361" s="3">
        <v>130.87</v>
      </c>
    </row>
    <row r="362" spans="1:14" x14ac:dyDescent="0.45">
      <c r="A362" s="1" t="s">
        <v>428</v>
      </c>
      <c r="B362" s="2">
        <v>45233</v>
      </c>
      <c r="C362" s="1" t="s">
        <v>14</v>
      </c>
      <c r="D362" s="1" t="s">
        <v>15</v>
      </c>
      <c r="E362" s="1" t="s">
        <v>38</v>
      </c>
      <c r="F362" s="1" t="s">
        <v>17</v>
      </c>
      <c r="G362" s="1" t="s">
        <v>74</v>
      </c>
      <c r="H362" s="1" t="s">
        <v>26</v>
      </c>
      <c r="I362" s="1" t="s">
        <v>42</v>
      </c>
      <c r="J362" s="1">
        <v>7</v>
      </c>
      <c r="K362" s="3">
        <v>102.19</v>
      </c>
      <c r="L362" s="4">
        <v>0.05</v>
      </c>
      <c r="M362" s="3">
        <v>679.58</v>
      </c>
      <c r="N362" s="3">
        <v>103.81</v>
      </c>
    </row>
    <row r="363" spans="1:14" x14ac:dyDescent="0.45">
      <c r="A363" s="1" t="s">
        <v>429</v>
      </c>
      <c r="B363" s="2">
        <v>45233</v>
      </c>
      <c r="C363" s="1" t="s">
        <v>29</v>
      </c>
      <c r="D363" s="1" t="s">
        <v>44</v>
      </c>
      <c r="E363" s="1" t="s">
        <v>53</v>
      </c>
      <c r="F363" s="1" t="s">
        <v>32</v>
      </c>
      <c r="G363" s="1" t="s">
        <v>25</v>
      </c>
      <c r="H363" s="1" t="s">
        <v>26</v>
      </c>
      <c r="I363" s="1" t="s">
        <v>27</v>
      </c>
      <c r="J363" s="1">
        <v>18</v>
      </c>
      <c r="K363" s="3">
        <v>34.700000000000003</v>
      </c>
      <c r="L363" s="4">
        <v>0.1</v>
      </c>
      <c r="M363" s="3">
        <v>562.19000000000005</v>
      </c>
      <c r="N363" s="3">
        <v>52.63</v>
      </c>
    </row>
    <row r="364" spans="1:14" x14ac:dyDescent="0.45">
      <c r="A364" s="1" t="s">
        <v>430</v>
      </c>
      <c r="B364" s="2">
        <v>45250</v>
      </c>
      <c r="C364" s="1" t="s">
        <v>29</v>
      </c>
      <c r="D364" s="1" t="s">
        <v>44</v>
      </c>
      <c r="E364" s="1" t="s">
        <v>89</v>
      </c>
      <c r="F364" s="1" t="s">
        <v>17</v>
      </c>
      <c r="G364" s="1" t="s">
        <v>74</v>
      </c>
      <c r="H364" s="1" t="s">
        <v>26</v>
      </c>
      <c r="I364" s="1" t="s">
        <v>39</v>
      </c>
      <c r="J364" s="1">
        <v>16</v>
      </c>
      <c r="K364" s="3">
        <v>32.78</v>
      </c>
      <c r="L364" s="4">
        <v>0.05</v>
      </c>
      <c r="M364" s="3">
        <v>498.25</v>
      </c>
      <c r="N364" s="3">
        <v>97.27</v>
      </c>
    </row>
    <row r="365" spans="1:14" x14ac:dyDescent="0.45">
      <c r="A365" s="1" t="s">
        <v>431</v>
      </c>
      <c r="B365" s="2">
        <v>45246</v>
      </c>
      <c r="C365" s="1" t="s">
        <v>29</v>
      </c>
      <c r="D365" s="1" t="s">
        <v>30</v>
      </c>
      <c r="E365" s="1" t="s">
        <v>73</v>
      </c>
      <c r="F365" s="1" t="s">
        <v>17</v>
      </c>
      <c r="G365" s="1" t="s">
        <v>50</v>
      </c>
      <c r="H365" s="1" t="s">
        <v>51</v>
      </c>
      <c r="I365" s="1" t="s">
        <v>27</v>
      </c>
      <c r="J365" s="1">
        <v>11</v>
      </c>
      <c r="K365" s="3">
        <v>59.95</v>
      </c>
      <c r="L365" s="4">
        <v>7.0000000000000007E-2</v>
      </c>
      <c r="M365" s="3">
        <v>613.29999999999995</v>
      </c>
      <c r="N365" s="3">
        <v>41.44</v>
      </c>
    </row>
    <row r="366" spans="1:14" x14ac:dyDescent="0.45">
      <c r="A366" s="1" t="s">
        <v>432</v>
      </c>
      <c r="B366" s="2">
        <v>45243</v>
      </c>
      <c r="C366" s="1" t="s">
        <v>29</v>
      </c>
      <c r="D366" s="1" t="s">
        <v>30</v>
      </c>
      <c r="E366" s="1" t="s">
        <v>89</v>
      </c>
      <c r="F366" s="1" t="s">
        <v>32</v>
      </c>
      <c r="G366" s="1" t="s">
        <v>25</v>
      </c>
      <c r="H366" s="1" t="s">
        <v>26</v>
      </c>
      <c r="I366" s="1" t="s">
        <v>67</v>
      </c>
      <c r="J366" s="1">
        <v>17</v>
      </c>
      <c r="K366" s="3">
        <v>59.74</v>
      </c>
      <c r="L366" s="4">
        <v>0.03</v>
      </c>
      <c r="M366" s="3">
        <v>985.18</v>
      </c>
      <c r="N366" s="3">
        <v>166</v>
      </c>
    </row>
    <row r="367" spans="1:14" x14ac:dyDescent="0.45">
      <c r="A367" s="1" t="s">
        <v>433</v>
      </c>
      <c r="B367" s="2">
        <v>45251</v>
      </c>
      <c r="C367" s="1" t="s">
        <v>14</v>
      </c>
      <c r="D367" s="1" t="s">
        <v>80</v>
      </c>
      <c r="E367" s="1" t="s">
        <v>65</v>
      </c>
      <c r="F367" s="1" t="s">
        <v>24</v>
      </c>
      <c r="G367" s="1" t="s">
        <v>46</v>
      </c>
      <c r="H367" s="1" t="s">
        <v>26</v>
      </c>
      <c r="I367" s="1" t="s">
        <v>67</v>
      </c>
      <c r="J367" s="1">
        <v>6</v>
      </c>
      <c r="K367" s="3">
        <v>424.27</v>
      </c>
      <c r="L367" s="4">
        <v>0</v>
      </c>
      <c r="M367" s="3">
        <v>2545.62</v>
      </c>
      <c r="N367" s="3">
        <v>582.05999999999995</v>
      </c>
    </row>
    <row r="368" spans="1:14" x14ac:dyDescent="0.45">
      <c r="A368" s="1" t="s">
        <v>434</v>
      </c>
      <c r="B368" s="2">
        <v>45251</v>
      </c>
      <c r="C368" s="1" t="s">
        <v>14</v>
      </c>
      <c r="D368" s="1" t="s">
        <v>80</v>
      </c>
      <c r="E368" s="1" t="s">
        <v>95</v>
      </c>
      <c r="F368" s="1" t="s">
        <v>17</v>
      </c>
      <c r="G368" s="1" t="s">
        <v>74</v>
      </c>
      <c r="H368" s="1" t="s">
        <v>26</v>
      </c>
      <c r="I368" s="1" t="s">
        <v>27</v>
      </c>
      <c r="J368" s="1">
        <v>7</v>
      </c>
      <c r="K368" s="3">
        <v>392.35</v>
      </c>
      <c r="L368" s="4">
        <v>0</v>
      </c>
      <c r="M368" s="3">
        <v>2746.46</v>
      </c>
      <c r="N368" s="3">
        <v>634.15</v>
      </c>
    </row>
    <row r="369" spans="1:14" x14ac:dyDescent="0.45">
      <c r="A369" s="1" t="s">
        <v>435</v>
      </c>
      <c r="B369" s="2">
        <v>45258</v>
      </c>
      <c r="C369" s="1" t="s">
        <v>14</v>
      </c>
      <c r="D369" s="1" t="s">
        <v>15</v>
      </c>
      <c r="E369" s="1" t="s">
        <v>63</v>
      </c>
      <c r="F369" s="1" t="s">
        <v>32</v>
      </c>
      <c r="G369" s="1" t="s">
        <v>74</v>
      </c>
      <c r="H369" s="1" t="s">
        <v>26</v>
      </c>
      <c r="I369" s="1" t="s">
        <v>39</v>
      </c>
      <c r="J369" s="1">
        <v>18</v>
      </c>
      <c r="K369" s="3">
        <v>96.94</v>
      </c>
      <c r="L369" s="4">
        <v>0.05</v>
      </c>
      <c r="M369" s="3">
        <v>1657.71</v>
      </c>
      <c r="N369" s="3">
        <v>321.99</v>
      </c>
    </row>
    <row r="370" spans="1:14" x14ac:dyDescent="0.45">
      <c r="A370" s="1" t="s">
        <v>436</v>
      </c>
      <c r="B370" s="2">
        <v>45289</v>
      </c>
      <c r="C370" s="1" t="s">
        <v>48</v>
      </c>
      <c r="D370" s="1" t="s">
        <v>91</v>
      </c>
      <c r="E370" s="1" t="s">
        <v>45</v>
      </c>
      <c r="F370" s="1" t="s">
        <v>24</v>
      </c>
      <c r="G370" s="1" t="s">
        <v>50</v>
      </c>
      <c r="H370" s="1" t="s">
        <v>51</v>
      </c>
      <c r="I370" s="1" t="s">
        <v>67</v>
      </c>
      <c r="J370" s="1">
        <v>3</v>
      </c>
      <c r="K370" s="3">
        <v>701.22</v>
      </c>
      <c r="L370" s="4">
        <v>0</v>
      </c>
      <c r="M370" s="3">
        <v>2103.66</v>
      </c>
      <c r="N370" s="3">
        <v>255.58</v>
      </c>
    </row>
    <row r="371" spans="1:14" x14ac:dyDescent="0.45">
      <c r="A371" s="1" t="s">
        <v>437</v>
      </c>
      <c r="B371" s="2">
        <v>45267</v>
      </c>
      <c r="C371" s="1" t="s">
        <v>29</v>
      </c>
      <c r="D371" s="1" t="s">
        <v>37</v>
      </c>
      <c r="E371" s="1" t="s">
        <v>31</v>
      </c>
      <c r="F371" s="1" t="s">
        <v>24</v>
      </c>
      <c r="G371" s="1" t="s">
        <v>61</v>
      </c>
      <c r="H371" s="1" t="s">
        <v>51</v>
      </c>
      <c r="I371" s="1" t="s">
        <v>42</v>
      </c>
      <c r="J371" s="1">
        <v>9</v>
      </c>
      <c r="K371" s="3">
        <v>99.63</v>
      </c>
      <c r="L371" s="4">
        <v>0.03</v>
      </c>
      <c r="M371" s="3">
        <v>869.77</v>
      </c>
      <c r="N371" s="3">
        <v>191.19</v>
      </c>
    </row>
    <row r="372" spans="1:14" x14ac:dyDescent="0.45">
      <c r="A372" s="1" t="s">
        <v>438</v>
      </c>
      <c r="B372" s="2">
        <v>45289</v>
      </c>
      <c r="C372" s="1" t="s">
        <v>14</v>
      </c>
      <c r="D372" s="1" t="s">
        <v>80</v>
      </c>
      <c r="E372" s="1" t="s">
        <v>23</v>
      </c>
      <c r="F372" s="1" t="s">
        <v>32</v>
      </c>
      <c r="G372" s="1" t="s">
        <v>74</v>
      </c>
      <c r="H372" s="1" t="s">
        <v>26</v>
      </c>
      <c r="I372" s="1" t="s">
        <v>42</v>
      </c>
      <c r="J372" s="1">
        <v>6</v>
      </c>
      <c r="K372" s="3">
        <v>434.7</v>
      </c>
      <c r="L372" s="4">
        <v>7.0000000000000007E-2</v>
      </c>
      <c r="M372" s="3">
        <v>2425.64</v>
      </c>
      <c r="N372" s="3">
        <v>526.61</v>
      </c>
    </row>
    <row r="373" spans="1:14" x14ac:dyDescent="0.45">
      <c r="A373" s="1" t="s">
        <v>439</v>
      </c>
      <c r="B373" s="2">
        <v>45278</v>
      </c>
      <c r="C373" s="1" t="s">
        <v>48</v>
      </c>
      <c r="D373" s="1" t="s">
        <v>91</v>
      </c>
      <c r="E373" s="1" t="s">
        <v>56</v>
      </c>
      <c r="F373" s="1" t="s">
        <v>24</v>
      </c>
      <c r="G373" s="1" t="s">
        <v>46</v>
      </c>
      <c r="H373" s="1" t="s">
        <v>26</v>
      </c>
      <c r="I373" s="1" t="s">
        <v>42</v>
      </c>
      <c r="J373" s="1">
        <v>3</v>
      </c>
      <c r="K373" s="3">
        <v>652.95000000000005</v>
      </c>
      <c r="L373" s="4">
        <v>0.1</v>
      </c>
      <c r="M373" s="3">
        <v>1762.96</v>
      </c>
      <c r="N373" s="3">
        <v>276.43</v>
      </c>
    </row>
    <row r="374" spans="1:14" x14ac:dyDescent="0.45">
      <c r="A374" s="1" t="s">
        <v>440</v>
      </c>
      <c r="B374" s="2">
        <v>45261</v>
      </c>
      <c r="C374" s="1" t="s">
        <v>48</v>
      </c>
      <c r="D374" s="1" t="s">
        <v>91</v>
      </c>
      <c r="E374" s="1" t="s">
        <v>87</v>
      </c>
      <c r="F374" s="1" t="s">
        <v>24</v>
      </c>
      <c r="G374" s="1" t="s">
        <v>74</v>
      </c>
      <c r="H374" s="1" t="s">
        <v>26</v>
      </c>
      <c r="I374" s="1" t="s">
        <v>42</v>
      </c>
      <c r="J374" s="1">
        <v>7</v>
      </c>
      <c r="K374" s="3">
        <v>661.47</v>
      </c>
      <c r="L374" s="4">
        <v>7.0000000000000007E-2</v>
      </c>
      <c r="M374" s="3">
        <v>4306.17</v>
      </c>
      <c r="N374" s="3">
        <v>677.36</v>
      </c>
    </row>
    <row r="375" spans="1:14" x14ac:dyDescent="0.45">
      <c r="A375" s="1" t="s">
        <v>441</v>
      </c>
      <c r="B375" s="2">
        <v>45267</v>
      </c>
      <c r="C375" s="1" t="s">
        <v>48</v>
      </c>
      <c r="D375" s="1" t="s">
        <v>49</v>
      </c>
      <c r="E375" s="1" t="s">
        <v>60</v>
      </c>
      <c r="F375" s="1" t="s">
        <v>17</v>
      </c>
      <c r="G375" s="1" t="s">
        <v>54</v>
      </c>
      <c r="H375" s="1" t="s">
        <v>51</v>
      </c>
      <c r="I375" s="1" t="s">
        <v>27</v>
      </c>
      <c r="J375" s="1">
        <v>1</v>
      </c>
      <c r="K375" s="3">
        <v>424.32</v>
      </c>
      <c r="L375" s="4">
        <v>0</v>
      </c>
      <c r="M375" s="3">
        <v>424.32</v>
      </c>
      <c r="N375" s="3">
        <v>18.829999999999998</v>
      </c>
    </row>
    <row r="376" spans="1:14" x14ac:dyDescent="0.45">
      <c r="A376" s="1" t="s">
        <v>442</v>
      </c>
      <c r="B376" s="2">
        <v>45287</v>
      </c>
      <c r="C376" s="1" t="s">
        <v>14</v>
      </c>
      <c r="D376" s="1" t="s">
        <v>15</v>
      </c>
      <c r="E376" s="1" t="s">
        <v>95</v>
      </c>
      <c r="F376" s="1" t="s">
        <v>24</v>
      </c>
      <c r="G376" s="1" t="s">
        <v>18</v>
      </c>
      <c r="H376" s="1" t="s">
        <v>19</v>
      </c>
      <c r="I376" s="1" t="s">
        <v>27</v>
      </c>
      <c r="J376" s="1">
        <v>13</v>
      </c>
      <c r="K376" s="3">
        <v>114.76</v>
      </c>
      <c r="L376" s="4">
        <v>0</v>
      </c>
      <c r="M376" s="3">
        <v>1491.89</v>
      </c>
      <c r="N376" s="3">
        <v>367.93</v>
      </c>
    </row>
    <row r="377" spans="1:14" x14ac:dyDescent="0.45">
      <c r="A377" s="1" t="s">
        <v>443</v>
      </c>
      <c r="B377" s="2">
        <v>45275</v>
      </c>
      <c r="C377" s="1" t="s">
        <v>14</v>
      </c>
      <c r="D377" s="1" t="s">
        <v>15</v>
      </c>
      <c r="E377" s="1" t="s">
        <v>60</v>
      </c>
      <c r="F377" s="1" t="s">
        <v>17</v>
      </c>
      <c r="G377" s="1" t="s">
        <v>50</v>
      </c>
      <c r="H377" s="1" t="s">
        <v>51</v>
      </c>
      <c r="I377" s="1" t="s">
        <v>67</v>
      </c>
      <c r="J377" s="1">
        <v>11</v>
      </c>
      <c r="K377" s="3">
        <v>114.04</v>
      </c>
      <c r="L377" s="4">
        <v>0</v>
      </c>
      <c r="M377" s="3">
        <v>1254.49</v>
      </c>
      <c r="N377" s="3">
        <v>361.2</v>
      </c>
    </row>
    <row r="378" spans="1:14" x14ac:dyDescent="0.45">
      <c r="A378" s="1" t="s">
        <v>444</v>
      </c>
      <c r="B378" s="2">
        <v>45288</v>
      </c>
      <c r="C378" s="1" t="s">
        <v>48</v>
      </c>
      <c r="D378" s="1" t="s">
        <v>49</v>
      </c>
      <c r="E378" s="1" t="s">
        <v>81</v>
      </c>
      <c r="F378" s="1" t="s">
        <v>17</v>
      </c>
      <c r="G378" s="1" t="s">
        <v>54</v>
      </c>
      <c r="H378" s="1" t="s">
        <v>51</v>
      </c>
      <c r="I378" s="1" t="s">
        <v>67</v>
      </c>
      <c r="J378" s="1">
        <v>8</v>
      </c>
      <c r="K378" s="3">
        <v>462.99</v>
      </c>
      <c r="L378" s="4">
        <v>0.1</v>
      </c>
      <c r="M378" s="3">
        <v>3333.55</v>
      </c>
      <c r="N378" s="3">
        <v>778.63</v>
      </c>
    </row>
    <row r="379" spans="1:14" x14ac:dyDescent="0.45">
      <c r="A379" s="1" t="s">
        <v>445</v>
      </c>
      <c r="B379" s="2">
        <v>45286</v>
      </c>
      <c r="C379" s="1" t="s">
        <v>48</v>
      </c>
      <c r="D379" s="1" t="s">
        <v>78</v>
      </c>
      <c r="E379" s="1" t="s">
        <v>95</v>
      </c>
      <c r="F379" s="1" t="s">
        <v>24</v>
      </c>
      <c r="G379" s="1" t="s">
        <v>74</v>
      </c>
      <c r="H379" s="1" t="s">
        <v>26</v>
      </c>
      <c r="I379" s="1" t="s">
        <v>20</v>
      </c>
      <c r="J379" s="1">
        <v>5</v>
      </c>
      <c r="K379" s="3">
        <v>530.29999999999995</v>
      </c>
      <c r="L379" s="4">
        <v>0.1</v>
      </c>
      <c r="M379" s="3">
        <v>2386.33</v>
      </c>
      <c r="N379" s="3">
        <v>333.71</v>
      </c>
    </row>
    <row r="380" spans="1:14" x14ac:dyDescent="0.45">
      <c r="A380" s="1" t="s">
        <v>446</v>
      </c>
      <c r="B380" s="2">
        <v>45281</v>
      </c>
      <c r="C380" s="1" t="s">
        <v>14</v>
      </c>
      <c r="D380" s="1" t="s">
        <v>80</v>
      </c>
      <c r="E380" s="1" t="s">
        <v>31</v>
      </c>
      <c r="F380" s="1" t="s">
        <v>32</v>
      </c>
      <c r="G380" s="1" t="s">
        <v>54</v>
      </c>
      <c r="H380" s="1" t="s">
        <v>51</v>
      </c>
      <c r="I380" s="1" t="s">
        <v>67</v>
      </c>
      <c r="J380" s="1">
        <v>5</v>
      </c>
      <c r="K380" s="3">
        <v>492.46</v>
      </c>
      <c r="L380" s="4">
        <v>7.0000000000000007E-2</v>
      </c>
      <c r="M380" s="3">
        <v>2289.94</v>
      </c>
      <c r="N380" s="3">
        <v>560.9</v>
      </c>
    </row>
    <row r="381" spans="1:14" x14ac:dyDescent="0.45">
      <c r="A381" s="1" t="s">
        <v>447</v>
      </c>
      <c r="B381" s="2">
        <v>45282</v>
      </c>
      <c r="C381" s="1" t="s">
        <v>48</v>
      </c>
      <c r="D381" s="1" t="s">
        <v>49</v>
      </c>
      <c r="E381" s="1" t="s">
        <v>56</v>
      </c>
      <c r="F381" s="1" t="s">
        <v>32</v>
      </c>
      <c r="G381" s="1" t="s">
        <v>54</v>
      </c>
      <c r="H381" s="1" t="s">
        <v>51</v>
      </c>
      <c r="I381" s="1" t="s">
        <v>67</v>
      </c>
      <c r="J381" s="1">
        <v>1</v>
      </c>
      <c r="K381" s="3">
        <v>459.54</v>
      </c>
      <c r="L381" s="4">
        <v>0.1</v>
      </c>
      <c r="M381" s="3">
        <v>413.58</v>
      </c>
      <c r="N381" s="3">
        <v>4.51</v>
      </c>
    </row>
    <row r="382" spans="1:14" x14ac:dyDescent="0.45">
      <c r="A382" s="1" t="s">
        <v>448</v>
      </c>
      <c r="B382" s="2">
        <v>45280</v>
      </c>
      <c r="C382" s="1" t="s">
        <v>48</v>
      </c>
      <c r="D382" s="1" t="s">
        <v>78</v>
      </c>
      <c r="E382" s="1" t="s">
        <v>41</v>
      </c>
      <c r="F382" s="1" t="s">
        <v>24</v>
      </c>
      <c r="G382" s="1" t="s">
        <v>46</v>
      </c>
      <c r="H382" s="1" t="s">
        <v>26</v>
      </c>
      <c r="I382" s="1" t="s">
        <v>35</v>
      </c>
      <c r="J382" s="1">
        <v>4</v>
      </c>
      <c r="K382" s="3">
        <v>573.83000000000004</v>
      </c>
      <c r="L382" s="4">
        <v>7.0000000000000007E-2</v>
      </c>
      <c r="M382" s="3">
        <v>2134.66</v>
      </c>
      <c r="N382" s="3">
        <v>335.59</v>
      </c>
    </row>
    <row r="383" spans="1:14" x14ac:dyDescent="0.45">
      <c r="A383" s="1" t="s">
        <v>449</v>
      </c>
      <c r="B383" s="2">
        <v>45289</v>
      </c>
      <c r="C383" s="1" t="s">
        <v>48</v>
      </c>
      <c r="D383" s="1" t="s">
        <v>78</v>
      </c>
      <c r="E383" s="1" t="s">
        <v>41</v>
      </c>
      <c r="F383" s="1" t="s">
        <v>32</v>
      </c>
      <c r="G383" s="1" t="s">
        <v>61</v>
      </c>
      <c r="H383" s="1" t="s">
        <v>51</v>
      </c>
      <c r="I383" s="1" t="s">
        <v>20</v>
      </c>
      <c r="J383" s="1">
        <v>4</v>
      </c>
      <c r="K383" s="3">
        <v>603.07000000000005</v>
      </c>
      <c r="L383" s="4">
        <v>0.03</v>
      </c>
      <c r="M383" s="3">
        <v>2339.91</v>
      </c>
      <c r="N383" s="3">
        <v>470.44</v>
      </c>
    </row>
    <row r="384" spans="1:14" x14ac:dyDescent="0.45">
      <c r="A384" s="1" t="s">
        <v>450</v>
      </c>
      <c r="B384" s="2">
        <v>45264</v>
      </c>
      <c r="C384" s="1" t="s">
        <v>48</v>
      </c>
      <c r="D384" s="1" t="s">
        <v>91</v>
      </c>
      <c r="E384" s="1" t="s">
        <v>106</v>
      </c>
      <c r="F384" s="1" t="s">
        <v>17</v>
      </c>
      <c r="G384" s="1" t="s">
        <v>50</v>
      </c>
      <c r="H384" s="1" t="s">
        <v>51</v>
      </c>
      <c r="I384" s="1" t="s">
        <v>42</v>
      </c>
      <c r="J384" s="1">
        <v>6</v>
      </c>
      <c r="K384" s="3">
        <v>674.39</v>
      </c>
      <c r="L384" s="4">
        <v>0.1</v>
      </c>
      <c r="M384" s="3">
        <v>3641.71</v>
      </c>
      <c r="N384" s="3">
        <v>687.39</v>
      </c>
    </row>
    <row r="385" spans="1:14" x14ac:dyDescent="0.45">
      <c r="A385" s="1" t="s">
        <v>451</v>
      </c>
      <c r="B385" s="2">
        <v>45286</v>
      </c>
      <c r="C385" s="1" t="s">
        <v>48</v>
      </c>
      <c r="D385" s="1" t="s">
        <v>91</v>
      </c>
      <c r="E385" s="1" t="s">
        <v>63</v>
      </c>
      <c r="F385" s="1" t="s">
        <v>32</v>
      </c>
      <c r="G385" s="1" t="s">
        <v>61</v>
      </c>
      <c r="H385" s="1" t="s">
        <v>51</v>
      </c>
      <c r="I385" s="1" t="s">
        <v>35</v>
      </c>
      <c r="J385" s="1">
        <v>5</v>
      </c>
      <c r="K385" s="3">
        <v>666.16</v>
      </c>
      <c r="L385" s="4">
        <v>7.0000000000000007E-2</v>
      </c>
      <c r="M385" s="3">
        <v>3097.66</v>
      </c>
      <c r="N385" s="3">
        <v>656.7</v>
      </c>
    </row>
    <row r="386" spans="1:14" x14ac:dyDescent="0.45">
      <c r="A386" s="1" t="s">
        <v>452</v>
      </c>
      <c r="B386" s="2">
        <v>45287</v>
      </c>
      <c r="C386" s="1" t="s">
        <v>29</v>
      </c>
      <c r="D386" s="1" t="s">
        <v>44</v>
      </c>
      <c r="E386" s="1" t="s">
        <v>65</v>
      </c>
      <c r="F386" s="1" t="s">
        <v>24</v>
      </c>
      <c r="G386" s="1" t="s">
        <v>54</v>
      </c>
      <c r="H386" s="1" t="s">
        <v>51</v>
      </c>
      <c r="I386" s="1" t="s">
        <v>20</v>
      </c>
      <c r="J386" s="1">
        <v>12</v>
      </c>
      <c r="K386" s="3">
        <v>42.83</v>
      </c>
      <c r="L386" s="4">
        <v>0</v>
      </c>
      <c r="M386" s="3">
        <v>513.96</v>
      </c>
      <c r="N386" s="3">
        <v>27.02</v>
      </c>
    </row>
    <row r="387" spans="1:14" x14ac:dyDescent="0.45">
      <c r="A387" s="1" t="s">
        <v>453</v>
      </c>
      <c r="B387" s="2">
        <v>45280</v>
      </c>
      <c r="C387" s="1" t="s">
        <v>48</v>
      </c>
      <c r="D387" s="1" t="s">
        <v>49</v>
      </c>
      <c r="E387" s="1" t="s">
        <v>95</v>
      </c>
      <c r="F387" s="1" t="s">
        <v>24</v>
      </c>
      <c r="G387" s="1" t="s">
        <v>66</v>
      </c>
      <c r="H387" s="1" t="s">
        <v>26</v>
      </c>
      <c r="I387" s="1" t="s">
        <v>42</v>
      </c>
      <c r="J387" s="1">
        <v>4</v>
      </c>
      <c r="K387" s="3">
        <v>425.72</v>
      </c>
      <c r="L387" s="4">
        <v>0.05</v>
      </c>
      <c r="M387" s="3">
        <v>1617.74</v>
      </c>
      <c r="N387" s="3">
        <v>396.58</v>
      </c>
    </row>
    <row r="388" spans="1:14" x14ac:dyDescent="0.45">
      <c r="A388" s="1" t="s">
        <v>454</v>
      </c>
      <c r="B388" s="2">
        <v>45317</v>
      </c>
      <c r="C388" s="1" t="s">
        <v>48</v>
      </c>
      <c r="D388" s="1" t="s">
        <v>78</v>
      </c>
      <c r="E388" s="1" t="s">
        <v>106</v>
      </c>
      <c r="F388" s="1" t="s">
        <v>32</v>
      </c>
      <c r="G388" s="1" t="s">
        <v>33</v>
      </c>
      <c r="H388" s="1" t="s">
        <v>34</v>
      </c>
      <c r="I388" s="1" t="s">
        <v>42</v>
      </c>
      <c r="J388" s="1">
        <v>6</v>
      </c>
      <c r="K388" s="3">
        <v>473.21</v>
      </c>
      <c r="L388" s="4">
        <v>0</v>
      </c>
      <c r="M388" s="3">
        <v>2839.27</v>
      </c>
      <c r="N388" s="3">
        <v>436.99</v>
      </c>
    </row>
    <row r="389" spans="1:14" x14ac:dyDescent="0.45">
      <c r="A389" s="1" t="s">
        <v>455</v>
      </c>
      <c r="B389" s="2">
        <v>45296</v>
      </c>
      <c r="C389" s="1" t="s">
        <v>14</v>
      </c>
      <c r="D389" s="1" t="s">
        <v>15</v>
      </c>
      <c r="E389" s="1" t="s">
        <v>81</v>
      </c>
      <c r="F389" s="1" t="s">
        <v>32</v>
      </c>
      <c r="G389" s="1" t="s">
        <v>25</v>
      </c>
      <c r="H389" s="1" t="s">
        <v>26</v>
      </c>
      <c r="I389" s="1" t="s">
        <v>39</v>
      </c>
      <c r="J389" s="1">
        <v>16</v>
      </c>
      <c r="K389" s="3">
        <v>91.93</v>
      </c>
      <c r="L389" s="4">
        <v>0.05</v>
      </c>
      <c r="M389" s="3">
        <v>1397.34</v>
      </c>
      <c r="N389" s="3">
        <v>333.31</v>
      </c>
    </row>
    <row r="390" spans="1:14" x14ac:dyDescent="0.45">
      <c r="A390" s="1" t="s">
        <v>456</v>
      </c>
      <c r="B390" s="2">
        <v>45307</v>
      </c>
      <c r="C390" s="1" t="s">
        <v>48</v>
      </c>
      <c r="D390" s="1" t="s">
        <v>49</v>
      </c>
      <c r="E390" s="1" t="s">
        <v>41</v>
      </c>
      <c r="F390" s="1" t="s">
        <v>24</v>
      </c>
      <c r="G390" s="1" t="s">
        <v>74</v>
      </c>
      <c r="H390" s="1" t="s">
        <v>26</v>
      </c>
      <c r="I390" s="1" t="s">
        <v>67</v>
      </c>
      <c r="J390" s="1">
        <v>1</v>
      </c>
      <c r="K390" s="3">
        <v>295.14</v>
      </c>
      <c r="L390" s="4">
        <v>0</v>
      </c>
      <c r="M390" s="3">
        <v>295.14</v>
      </c>
      <c r="N390" s="3">
        <v>-14.3</v>
      </c>
    </row>
    <row r="391" spans="1:14" x14ac:dyDescent="0.45">
      <c r="A391" s="1" t="s">
        <v>457</v>
      </c>
      <c r="B391" s="2">
        <v>45302</v>
      </c>
      <c r="C391" s="1" t="s">
        <v>48</v>
      </c>
      <c r="D391" s="1" t="s">
        <v>91</v>
      </c>
      <c r="E391" s="1" t="s">
        <v>41</v>
      </c>
      <c r="F391" s="1" t="s">
        <v>32</v>
      </c>
      <c r="G391" s="1" t="s">
        <v>74</v>
      </c>
      <c r="H391" s="1" t="s">
        <v>26</v>
      </c>
      <c r="I391" s="1" t="s">
        <v>39</v>
      </c>
      <c r="J391" s="1">
        <v>7</v>
      </c>
      <c r="K391" s="3">
        <v>507.4</v>
      </c>
      <c r="L391" s="4">
        <v>0.1</v>
      </c>
      <c r="M391" s="3">
        <v>3196.59</v>
      </c>
      <c r="N391" s="3">
        <v>477.34</v>
      </c>
    </row>
    <row r="392" spans="1:14" x14ac:dyDescent="0.45">
      <c r="A392" s="1" t="s">
        <v>458</v>
      </c>
      <c r="B392" s="2">
        <v>45293</v>
      </c>
      <c r="C392" s="1" t="s">
        <v>14</v>
      </c>
      <c r="D392" s="1" t="s">
        <v>15</v>
      </c>
      <c r="E392" s="1" t="s">
        <v>73</v>
      </c>
      <c r="F392" s="1" t="s">
        <v>32</v>
      </c>
      <c r="G392" s="1" t="s">
        <v>61</v>
      </c>
      <c r="H392" s="1" t="s">
        <v>51</v>
      </c>
      <c r="I392" s="1" t="s">
        <v>42</v>
      </c>
      <c r="J392" s="1">
        <v>6</v>
      </c>
      <c r="K392" s="3">
        <v>90.33</v>
      </c>
      <c r="L392" s="4">
        <v>0.1</v>
      </c>
      <c r="M392" s="3">
        <v>487.78</v>
      </c>
      <c r="N392" s="3">
        <v>20.170000000000002</v>
      </c>
    </row>
    <row r="393" spans="1:14" x14ac:dyDescent="0.45">
      <c r="A393" s="1" t="s">
        <v>459</v>
      </c>
      <c r="B393" s="2">
        <v>45309</v>
      </c>
      <c r="C393" s="1" t="s">
        <v>48</v>
      </c>
      <c r="D393" s="1" t="s">
        <v>78</v>
      </c>
      <c r="E393" s="1" t="s">
        <v>63</v>
      </c>
      <c r="F393" s="1" t="s">
        <v>17</v>
      </c>
      <c r="G393" s="1" t="s">
        <v>33</v>
      </c>
      <c r="H393" s="1" t="s">
        <v>34</v>
      </c>
      <c r="I393" s="1" t="s">
        <v>27</v>
      </c>
      <c r="J393" s="1">
        <v>7</v>
      </c>
      <c r="K393" s="3">
        <v>508.2</v>
      </c>
      <c r="L393" s="4">
        <v>0</v>
      </c>
      <c r="M393" s="3">
        <v>3557.41</v>
      </c>
      <c r="N393" s="3">
        <v>662.41</v>
      </c>
    </row>
    <row r="394" spans="1:14" x14ac:dyDescent="0.45">
      <c r="A394" s="1" t="s">
        <v>460</v>
      </c>
      <c r="B394" s="2">
        <v>45320</v>
      </c>
      <c r="C394" s="1" t="s">
        <v>14</v>
      </c>
      <c r="D394" s="1" t="s">
        <v>80</v>
      </c>
      <c r="E394" s="1" t="s">
        <v>56</v>
      </c>
      <c r="F394" s="1" t="s">
        <v>17</v>
      </c>
      <c r="G394" s="1" t="s">
        <v>50</v>
      </c>
      <c r="H394" s="1" t="s">
        <v>51</v>
      </c>
      <c r="I394" s="1" t="s">
        <v>20</v>
      </c>
      <c r="J394" s="1">
        <v>4</v>
      </c>
      <c r="K394" s="3">
        <v>359.93</v>
      </c>
      <c r="L394" s="4">
        <v>0.03</v>
      </c>
      <c r="M394" s="3">
        <v>1396.51</v>
      </c>
      <c r="N394" s="3">
        <v>229.94</v>
      </c>
    </row>
    <row r="395" spans="1:14" x14ac:dyDescent="0.45">
      <c r="A395" s="1" t="s">
        <v>461</v>
      </c>
      <c r="B395" s="2">
        <v>45308</v>
      </c>
      <c r="C395" s="1" t="s">
        <v>14</v>
      </c>
      <c r="D395" s="1" t="s">
        <v>15</v>
      </c>
      <c r="E395" s="1" t="s">
        <v>73</v>
      </c>
      <c r="F395" s="1" t="s">
        <v>17</v>
      </c>
      <c r="G395" s="1" t="s">
        <v>57</v>
      </c>
      <c r="H395" s="1" t="s">
        <v>51</v>
      </c>
      <c r="I395" s="1" t="s">
        <v>35</v>
      </c>
      <c r="J395" s="1">
        <v>4</v>
      </c>
      <c r="K395" s="3">
        <v>80.41</v>
      </c>
      <c r="L395" s="4">
        <v>0</v>
      </c>
      <c r="M395" s="3">
        <v>321.63</v>
      </c>
      <c r="N395" s="3">
        <v>23.6</v>
      </c>
    </row>
    <row r="396" spans="1:14" x14ac:dyDescent="0.45">
      <c r="A396" s="1" t="s">
        <v>462</v>
      </c>
      <c r="B396" s="2">
        <v>45307</v>
      </c>
      <c r="C396" s="1" t="s">
        <v>29</v>
      </c>
      <c r="D396" s="1" t="s">
        <v>30</v>
      </c>
      <c r="E396" s="1" t="s">
        <v>63</v>
      </c>
      <c r="F396" s="1" t="s">
        <v>32</v>
      </c>
      <c r="G396" s="1" t="s">
        <v>25</v>
      </c>
      <c r="H396" s="1" t="s">
        <v>26</v>
      </c>
      <c r="I396" s="1" t="s">
        <v>67</v>
      </c>
      <c r="J396" s="1">
        <v>4</v>
      </c>
      <c r="K396" s="3">
        <v>50.46</v>
      </c>
      <c r="L396" s="4">
        <v>0.03</v>
      </c>
      <c r="M396" s="3">
        <v>195.77</v>
      </c>
      <c r="N396" s="3">
        <v>5.64</v>
      </c>
    </row>
    <row r="397" spans="1:14" x14ac:dyDescent="0.45">
      <c r="A397" s="1" t="s">
        <v>463</v>
      </c>
      <c r="B397" s="2">
        <v>45302</v>
      </c>
      <c r="C397" s="1" t="s">
        <v>48</v>
      </c>
      <c r="D397" s="1" t="s">
        <v>78</v>
      </c>
      <c r="E397" s="1" t="s">
        <v>87</v>
      </c>
      <c r="F397" s="1" t="s">
        <v>24</v>
      </c>
      <c r="G397" s="1" t="s">
        <v>33</v>
      </c>
      <c r="H397" s="1" t="s">
        <v>34</v>
      </c>
      <c r="I397" s="1" t="s">
        <v>35</v>
      </c>
      <c r="J397" s="1">
        <v>6</v>
      </c>
      <c r="K397" s="3">
        <v>537.74</v>
      </c>
      <c r="L397" s="4">
        <v>0</v>
      </c>
      <c r="M397" s="3">
        <v>3226.45</v>
      </c>
      <c r="N397" s="3">
        <v>561.12</v>
      </c>
    </row>
    <row r="398" spans="1:14" x14ac:dyDescent="0.45">
      <c r="A398" s="1" t="s">
        <v>464</v>
      </c>
      <c r="B398" s="2">
        <v>45315</v>
      </c>
      <c r="C398" s="1" t="s">
        <v>48</v>
      </c>
      <c r="D398" s="1" t="s">
        <v>78</v>
      </c>
      <c r="E398" s="1" t="s">
        <v>81</v>
      </c>
      <c r="F398" s="1" t="s">
        <v>32</v>
      </c>
      <c r="G398" s="1" t="s">
        <v>61</v>
      </c>
      <c r="H398" s="1" t="s">
        <v>51</v>
      </c>
      <c r="I398" s="1" t="s">
        <v>20</v>
      </c>
      <c r="J398" s="1">
        <v>6</v>
      </c>
      <c r="K398" s="3">
        <v>494.74</v>
      </c>
      <c r="L398" s="4">
        <v>0.05</v>
      </c>
      <c r="M398" s="3">
        <v>2820.03</v>
      </c>
      <c r="N398" s="3">
        <v>534.74</v>
      </c>
    </row>
    <row r="399" spans="1:14" x14ac:dyDescent="0.45">
      <c r="A399" s="1" t="s">
        <v>465</v>
      </c>
      <c r="B399" s="2">
        <v>45295</v>
      </c>
      <c r="C399" s="1" t="s">
        <v>48</v>
      </c>
      <c r="D399" s="1" t="s">
        <v>49</v>
      </c>
      <c r="E399" s="1" t="s">
        <v>104</v>
      </c>
      <c r="F399" s="1" t="s">
        <v>17</v>
      </c>
      <c r="G399" s="1" t="s">
        <v>33</v>
      </c>
      <c r="H399" s="1" t="s">
        <v>34</v>
      </c>
      <c r="I399" s="1" t="s">
        <v>35</v>
      </c>
      <c r="J399" s="1">
        <v>3</v>
      </c>
      <c r="K399" s="3">
        <v>359.48</v>
      </c>
      <c r="L399" s="4">
        <v>0</v>
      </c>
      <c r="M399" s="3">
        <v>1078.44</v>
      </c>
      <c r="N399" s="3">
        <v>114.31</v>
      </c>
    </row>
    <row r="400" spans="1:14" x14ac:dyDescent="0.45">
      <c r="A400" s="1" t="s">
        <v>466</v>
      </c>
      <c r="B400" s="2">
        <v>45317</v>
      </c>
      <c r="C400" s="1" t="s">
        <v>48</v>
      </c>
      <c r="D400" s="1" t="s">
        <v>49</v>
      </c>
      <c r="E400" s="1" t="s">
        <v>23</v>
      </c>
      <c r="F400" s="1" t="s">
        <v>24</v>
      </c>
      <c r="G400" s="1" t="s">
        <v>54</v>
      </c>
      <c r="H400" s="1" t="s">
        <v>51</v>
      </c>
      <c r="I400" s="1" t="s">
        <v>27</v>
      </c>
      <c r="J400" s="1">
        <v>7</v>
      </c>
      <c r="K400" s="3">
        <v>366.12</v>
      </c>
      <c r="L400" s="4">
        <v>0</v>
      </c>
      <c r="M400" s="3">
        <v>2562.84</v>
      </c>
      <c r="N400" s="3">
        <v>633.17999999999995</v>
      </c>
    </row>
    <row r="401" spans="1:14" x14ac:dyDescent="0.45">
      <c r="A401" s="1" t="s">
        <v>467</v>
      </c>
      <c r="B401" s="2">
        <v>45316</v>
      </c>
      <c r="C401" s="1" t="s">
        <v>48</v>
      </c>
      <c r="D401" s="1" t="s">
        <v>91</v>
      </c>
      <c r="E401" s="1" t="s">
        <v>92</v>
      </c>
      <c r="F401" s="1" t="s">
        <v>32</v>
      </c>
      <c r="G401" s="1" t="s">
        <v>33</v>
      </c>
      <c r="H401" s="1" t="s">
        <v>34</v>
      </c>
      <c r="I401" s="1" t="s">
        <v>20</v>
      </c>
      <c r="J401" s="1">
        <v>5</v>
      </c>
      <c r="K401" s="3">
        <v>580.39</v>
      </c>
      <c r="L401" s="4">
        <v>7.0000000000000007E-2</v>
      </c>
      <c r="M401" s="3">
        <v>2698.82</v>
      </c>
      <c r="N401" s="3">
        <v>485.16</v>
      </c>
    </row>
    <row r="402" spans="1:14" x14ac:dyDescent="0.45">
      <c r="A402" s="1" t="s">
        <v>468</v>
      </c>
      <c r="B402" s="2">
        <v>45299</v>
      </c>
      <c r="C402" s="1" t="s">
        <v>14</v>
      </c>
      <c r="D402" s="1" t="s">
        <v>15</v>
      </c>
      <c r="E402" s="1" t="s">
        <v>104</v>
      </c>
      <c r="F402" s="1" t="s">
        <v>24</v>
      </c>
      <c r="G402" s="1" t="s">
        <v>25</v>
      </c>
      <c r="H402" s="1" t="s">
        <v>26</v>
      </c>
      <c r="I402" s="1" t="s">
        <v>20</v>
      </c>
      <c r="J402" s="1">
        <v>18</v>
      </c>
      <c r="K402" s="3">
        <v>85.8</v>
      </c>
      <c r="L402" s="4">
        <v>0</v>
      </c>
      <c r="M402" s="3">
        <v>1544.38</v>
      </c>
      <c r="N402" s="3">
        <v>292.33999999999997</v>
      </c>
    </row>
    <row r="403" spans="1:14" x14ac:dyDescent="0.45">
      <c r="A403" s="1" t="s">
        <v>469</v>
      </c>
      <c r="B403" s="2">
        <v>45338</v>
      </c>
      <c r="C403" s="1" t="s">
        <v>29</v>
      </c>
      <c r="D403" s="1" t="s">
        <v>30</v>
      </c>
      <c r="E403" s="1" t="s">
        <v>69</v>
      </c>
      <c r="F403" s="1" t="s">
        <v>17</v>
      </c>
      <c r="G403" s="1" t="s">
        <v>25</v>
      </c>
      <c r="H403" s="1" t="s">
        <v>26</v>
      </c>
      <c r="I403" s="1" t="s">
        <v>27</v>
      </c>
      <c r="J403" s="1">
        <v>10</v>
      </c>
      <c r="K403" s="3">
        <v>48.47</v>
      </c>
      <c r="L403" s="4">
        <v>0</v>
      </c>
      <c r="M403" s="3">
        <v>484.71</v>
      </c>
      <c r="N403" s="3">
        <v>51.44</v>
      </c>
    </row>
    <row r="404" spans="1:14" x14ac:dyDescent="0.45">
      <c r="A404" s="1" t="s">
        <v>470</v>
      </c>
      <c r="B404" s="2">
        <v>45335</v>
      </c>
      <c r="C404" s="1" t="s">
        <v>29</v>
      </c>
      <c r="D404" s="1" t="s">
        <v>44</v>
      </c>
      <c r="E404" s="1" t="s">
        <v>38</v>
      </c>
      <c r="F404" s="1" t="s">
        <v>17</v>
      </c>
      <c r="G404" s="1" t="s">
        <v>57</v>
      </c>
      <c r="H404" s="1" t="s">
        <v>51</v>
      </c>
      <c r="I404" s="1" t="s">
        <v>42</v>
      </c>
      <c r="J404" s="1">
        <v>12</v>
      </c>
      <c r="K404" s="3">
        <v>26.77</v>
      </c>
      <c r="L404" s="4">
        <v>7.0000000000000007E-2</v>
      </c>
      <c r="M404" s="3">
        <v>298.77999999999997</v>
      </c>
      <c r="N404" s="3">
        <v>38.18</v>
      </c>
    </row>
    <row r="405" spans="1:14" x14ac:dyDescent="0.45">
      <c r="A405" s="1" t="s">
        <v>471</v>
      </c>
      <c r="B405" s="2">
        <v>45335</v>
      </c>
      <c r="C405" s="1" t="s">
        <v>48</v>
      </c>
      <c r="D405" s="1" t="s">
        <v>78</v>
      </c>
      <c r="E405" s="1" t="s">
        <v>45</v>
      </c>
      <c r="F405" s="1" t="s">
        <v>32</v>
      </c>
      <c r="G405" s="1" t="s">
        <v>74</v>
      </c>
      <c r="H405" s="1" t="s">
        <v>26</v>
      </c>
      <c r="I405" s="1" t="s">
        <v>42</v>
      </c>
      <c r="J405" s="1">
        <v>7</v>
      </c>
      <c r="K405" s="3">
        <v>431.44</v>
      </c>
      <c r="L405" s="4">
        <v>0.1</v>
      </c>
      <c r="M405" s="3">
        <v>2718.08</v>
      </c>
      <c r="N405" s="3">
        <v>702.21</v>
      </c>
    </row>
    <row r="406" spans="1:14" x14ac:dyDescent="0.45">
      <c r="A406" s="1" t="s">
        <v>472</v>
      </c>
      <c r="B406" s="2">
        <v>45344</v>
      </c>
      <c r="C406" s="1" t="s">
        <v>29</v>
      </c>
      <c r="D406" s="1" t="s">
        <v>30</v>
      </c>
      <c r="E406" s="1" t="s">
        <v>60</v>
      </c>
      <c r="F406" s="1" t="s">
        <v>32</v>
      </c>
      <c r="G406" s="1" t="s">
        <v>50</v>
      </c>
      <c r="H406" s="1" t="s">
        <v>51</v>
      </c>
      <c r="I406" s="1" t="s">
        <v>35</v>
      </c>
      <c r="J406" s="1">
        <v>17</v>
      </c>
      <c r="K406" s="3">
        <v>50.37</v>
      </c>
      <c r="L406" s="4">
        <v>7.0000000000000007E-2</v>
      </c>
      <c r="M406" s="3">
        <v>796.35</v>
      </c>
      <c r="N406" s="3">
        <v>41.93</v>
      </c>
    </row>
    <row r="407" spans="1:14" x14ac:dyDescent="0.45">
      <c r="A407" s="1" t="s">
        <v>473</v>
      </c>
      <c r="B407" s="2">
        <v>45328</v>
      </c>
      <c r="C407" s="1" t="s">
        <v>14</v>
      </c>
      <c r="D407" s="1" t="s">
        <v>22</v>
      </c>
      <c r="E407" s="1" t="s">
        <v>23</v>
      </c>
      <c r="F407" s="1" t="s">
        <v>24</v>
      </c>
      <c r="G407" s="1" t="s">
        <v>66</v>
      </c>
      <c r="H407" s="1" t="s">
        <v>26</v>
      </c>
      <c r="I407" s="1" t="s">
        <v>35</v>
      </c>
      <c r="J407" s="1">
        <v>4</v>
      </c>
      <c r="K407" s="3">
        <v>1368.1</v>
      </c>
      <c r="L407" s="4">
        <v>0</v>
      </c>
      <c r="M407" s="3">
        <v>5472.41</v>
      </c>
      <c r="N407" s="3">
        <v>837.05</v>
      </c>
    </row>
    <row r="408" spans="1:14" x14ac:dyDescent="0.45">
      <c r="A408" s="1" t="s">
        <v>474</v>
      </c>
      <c r="B408" s="2">
        <v>45343</v>
      </c>
      <c r="C408" s="1" t="s">
        <v>48</v>
      </c>
      <c r="D408" s="1" t="s">
        <v>49</v>
      </c>
      <c r="E408" s="1" t="s">
        <v>53</v>
      </c>
      <c r="F408" s="1" t="s">
        <v>24</v>
      </c>
      <c r="G408" s="1" t="s">
        <v>61</v>
      </c>
      <c r="H408" s="1" t="s">
        <v>51</v>
      </c>
      <c r="I408" s="1" t="s">
        <v>27</v>
      </c>
      <c r="J408" s="1">
        <v>8</v>
      </c>
      <c r="K408" s="3">
        <v>335.35</v>
      </c>
      <c r="L408" s="4">
        <v>0.05</v>
      </c>
      <c r="M408" s="3">
        <v>2548.64</v>
      </c>
      <c r="N408" s="3">
        <v>514.52</v>
      </c>
    </row>
    <row r="409" spans="1:14" x14ac:dyDescent="0.45">
      <c r="A409" s="1" t="s">
        <v>475</v>
      </c>
      <c r="B409" s="2">
        <v>45324</v>
      </c>
      <c r="C409" s="1" t="s">
        <v>14</v>
      </c>
      <c r="D409" s="1" t="s">
        <v>22</v>
      </c>
      <c r="E409" s="1" t="s">
        <v>56</v>
      </c>
      <c r="F409" s="1" t="s">
        <v>24</v>
      </c>
      <c r="G409" s="1" t="s">
        <v>54</v>
      </c>
      <c r="H409" s="1" t="s">
        <v>51</v>
      </c>
      <c r="I409" s="1" t="s">
        <v>67</v>
      </c>
      <c r="J409" s="1">
        <v>3</v>
      </c>
      <c r="K409" s="3">
        <v>1491.4</v>
      </c>
      <c r="L409" s="4">
        <v>7.0000000000000007E-2</v>
      </c>
      <c r="M409" s="3">
        <v>4161.01</v>
      </c>
      <c r="N409" s="3">
        <v>506.41</v>
      </c>
    </row>
    <row r="410" spans="1:14" x14ac:dyDescent="0.45">
      <c r="A410" s="1" t="s">
        <v>476</v>
      </c>
      <c r="B410" s="2">
        <v>45327</v>
      </c>
      <c r="C410" s="1" t="s">
        <v>14</v>
      </c>
      <c r="D410" s="1" t="s">
        <v>80</v>
      </c>
      <c r="E410" s="1" t="s">
        <v>23</v>
      </c>
      <c r="F410" s="1" t="s">
        <v>32</v>
      </c>
      <c r="G410" s="1" t="s">
        <v>33</v>
      </c>
      <c r="H410" s="1" t="s">
        <v>34</v>
      </c>
      <c r="I410" s="1" t="s">
        <v>67</v>
      </c>
      <c r="J410" s="1">
        <v>1</v>
      </c>
      <c r="K410" s="3">
        <v>434.47</v>
      </c>
      <c r="L410" s="4">
        <v>0.1</v>
      </c>
      <c r="M410" s="3">
        <v>391.02</v>
      </c>
      <c r="N410" s="3">
        <v>36.07</v>
      </c>
    </row>
    <row r="411" spans="1:14" x14ac:dyDescent="0.45">
      <c r="A411" s="1" t="s">
        <v>477</v>
      </c>
      <c r="B411" s="2">
        <v>45330</v>
      </c>
      <c r="C411" s="1" t="s">
        <v>14</v>
      </c>
      <c r="D411" s="1" t="s">
        <v>80</v>
      </c>
      <c r="E411" s="1" t="s">
        <v>69</v>
      </c>
      <c r="F411" s="1" t="s">
        <v>32</v>
      </c>
      <c r="G411" s="1" t="s">
        <v>74</v>
      </c>
      <c r="H411" s="1" t="s">
        <v>26</v>
      </c>
      <c r="I411" s="1" t="s">
        <v>20</v>
      </c>
      <c r="J411" s="1">
        <v>4</v>
      </c>
      <c r="K411" s="3">
        <v>363.55</v>
      </c>
      <c r="L411" s="4">
        <v>7.0000000000000007E-2</v>
      </c>
      <c r="M411" s="3">
        <v>1352.4</v>
      </c>
      <c r="N411" s="3">
        <v>168.8</v>
      </c>
    </row>
    <row r="412" spans="1:14" x14ac:dyDescent="0.45">
      <c r="A412" s="1" t="s">
        <v>478</v>
      </c>
      <c r="B412" s="2">
        <v>45342</v>
      </c>
      <c r="C412" s="1" t="s">
        <v>48</v>
      </c>
      <c r="D412" s="1" t="s">
        <v>78</v>
      </c>
      <c r="E412" s="1" t="s">
        <v>81</v>
      </c>
      <c r="F412" s="1" t="s">
        <v>17</v>
      </c>
      <c r="G412" s="1" t="s">
        <v>50</v>
      </c>
      <c r="H412" s="1" t="s">
        <v>51</v>
      </c>
      <c r="I412" s="1" t="s">
        <v>42</v>
      </c>
      <c r="J412" s="1">
        <v>6</v>
      </c>
      <c r="K412" s="3">
        <v>489.63</v>
      </c>
      <c r="L412" s="4">
        <v>7.0000000000000007E-2</v>
      </c>
      <c r="M412" s="3">
        <v>2732.13</v>
      </c>
      <c r="N412" s="3">
        <v>612.9</v>
      </c>
    </row>
    <row r="413" spans="1:14" x14ac:dyDescent="0.45">
      <c r="A413" s="1" t="s">
        <v>479</v>
      </c>
      <c r="B413" s="2">
        <v>45351</v>
      </c>
      <c r="C413" s="1" t="s">
        <v>14</v>
      </c>
      <c r="D413" s="1" t="s">
        <v>22</v>
      </c>
      <c r="E413" s="1" t="s">
        <v>95</v>
      </c>
      <c r="F413" s="1" t="s">
        <v>24</v>
      </c>
      <c r="G413" s="1" t="s">
        <v>54</v>
      </c>
      <c r="H413" s="1" t="s">
        <v>51</v>
      </c>
      <c r="I413" s="1" t="s">
        <v>67</v>
      </c>
      <c r="J413" s="1">
        <v>7</v>
      </c>
      <c r="K413" s="3">
        <v>1642.04</v>
      </c>
      <c r="L413" s="4">
        <v>7.0000000000000007E-2</v>
      </c>
      <c r="M413" s="3">
        <v>10689.69</v>
      </c>
      <c r="N413" s="3">
        <v>1509.48</v>
      </c>
    </row>
    <row r="414" spans="1:14" x14ac:dyDescent="0.45">
      <c r="A414" s="1" t="s">
        <v>480</v>
      </c>
      <c r="B414" s="2">
        <v>45343</v>
      </c>
      <c r="C414" s="1" t="s">
        <v>48</v>
      </c>
      <c r="D414" s="1" t="s">
        <v>49</v>
      </c>
      <c r="E414" s="1" t="s">
        <v>23</v>
      </c>
      <c r="F414" s="1" t="s">
        <v>17</v>
      </c>
      <c r="G414" s="1" t="s">
        <v>50</v>
      </c>
      <c r="H414" s="1" t="s">
        <v>51</v>
      </c>
      <c r="I414" s="1" t="s">
        <v>27</v>
      </c>
      <c r="J414" s="1">
        <v>8</v>
      </c>
      <c r="K414" s="3">
        <v>318.83999999999997</v>
      </c>
      <c r="L414" s="4">
        <v>7.0000000000000007E-2</v>
      </c>
      <c r="M414" s="3">
        <v>2372.1999999999998</v>
      </c>
      <c r="N414" s="3">
        <v>564.44000000000005</v>
      </c>
    </row>
    <row r="415" spans="1:14" x14ac:dyDescent="0.45">
      <c r="A415" s="1" t="s">
        <v>481</v>
      </c>
      <c r="B415" s="2">
        <v>45350</v>
      </c>
      <c r="C415" s="1" t="s">
        <v>48</v>
      </c>
      <c r="D415" s="1" t="s">
        <v>91</v>
      </c>
      <c r="E415" s="1" t="s">
        <v>38</v>
      </c>
      <c r="F415" s="1" t="s">
        <v>24</v>
      </c>
      <c r="G415" s="1" t="s">
        <v>46</v>
      </c>
      <c r="H415" s="1" t="s">
        <v>26</v>
      </c>
      <c r="I415" s="1" t="s">
        <v>67</v>
      </c>
      <c r="J415" s="1">
        <v>7</v>
      </c>
      <c r="K415" s="3">
        <v>517.07000000000005</v>
      </c>
      <c r="L415" s="4">
        <v>0.05</v>
      </c>
      <c r="M415" s="3">
        <v>3438.48</v>
      </c>
      <c r="N415" s="3">
        <v>725.65</v>
      </c>
    </row>
    <row r="416" spans="1:14" x14ac:dyDescent="0.45">
      <c r="A416" s="1" t="s">
        <v>482</v>
      </c>
      <c r="B416" s="2">
        <v>45351</v>
      </c>
      <c r="C416" s="1" t="s">
        <v>48</v>
      </c>
      <c r="D416" s="1" t="s">
        <v>78</v>
      </c>
      <c r="E416" s="1" t="s">
        <v>63</v>
      </c>
      <c r="F416" s="1" t="s">
        <v>32</v>
      </c>
      <c r="G416" s="1" t="s">
        <v>74</v>
      </c>
      <c r="H416" s="1" t="s">
        <v>26</v>
      </c>
      <c r="I416" s="1" t="s">
        <v>20</v>
      </c>
      <c r="J416" s="1">
        <v>5</v>
      </c>
      <c r="K416" s="3">
        <v>438.26</v>
      </c>
      <c r="L416" s="4">
        <v>0</v>
      </c>
      <c r="M416" s="3">
        <v>2191.29</v>
      </c>
      <c r="N416" s="3">
        <v>561.19000000000005</v>
      </c>
    </row>
    <row r="417" spans="1:14" x14ac:dyDescent="0.45">
      <c r="A417" s="1" t="s">
        <v>483</v>
      </c>
      <c r="B417" s="2">
        <v>45331</v>
      </c>
      <c r="C417" s="1" t="s">
        <v>48</v>
      </c>
      <c r="D417" s="1" t="s">
        <v>91</v>
      </c>
      <c r="E417" s="1" t="s">
        <v>95</v>
      </c>
      <c r="F417" s="1" t="s">
        <v>17</v>
      </c>
      <c r="G417" s="1" t="s">
        <v>18</v>
      </c>
      <c r="H417" s="1" t="s">
        <v>19</v>
      </c>
      <c r="I417" s="1" t="s">
        <v>42</v>
      </c>
      <c r="J417" s="1">
        <v>1</v>
      </c>
      <c r="K417" s="3">
        <v>559.80999999999995</v>
      </c>
      <c r="L417" s="4">
        <v>0</v>
      </c>
      <c r="M417" s="3">
        <v>559.80999999999995</v>
      </c>
      <c r="N417" s="3">
        <v>47.63</v>
      </c>
    </row>
    <row r="418" spans="1:14" x14ac:dyDescent="0.45">
      <c r="A418" s="1" t="s">
        <v>484</v>
      </c>
      <c r="B418" s="2">
        <v>45350</v>
      </c>
      <c r="C418" s="1" t="s">
        <v>48</v>
      </c>
      <c r="D418" s="1" t="s">
        <v>91</v>
      </c>
      <c r="E418" s="1" t="s">
        <v>92</v>
      </c>
      <c r="F418" s="1" t="s">
        <v>17</v>
      </c>
      <c r="G418" s="1" t="s">
        <v>61</v>
      </c>
      <c r="H418" s="1" t="s">
        <v>51</v>
      </c>
      <c r="I418" s="1" t="s">
        <v>20</v>
      </c>
      <c r="J418" s="1">
        <v>7</v>
      </c>
      <c r="K418" s="3">
        <v>599.39</v>
      </c>
      <c r="L418" s="4">
        <v>0.03</v>
      </c>
      <c r="M418" s="3">
        <v>4069.84</v>
      </c>
      <c r="N418" s="3">
        <v>660.23</v>
      </c>
    </row>
    <row r="419" spans="1:14" x14ac:dyDescent="0.45">
      <c r="A419" s="1" t="s">
        <v>485</v>
      </c>
      <c r="B419" s="2">
        <v>45336</v>
      </c>
      <c r="C419" s="1" t="s">
        <v>29</v>
      </c>
      <c r="D419" s="1" t="s">
        <v>37</v>
      </c>
      <c r="E419" s="1" t="s">
        <v>60</v>
      </c>
      <c r="F419" s="1" t="s">
        <v>17</v>
      </c>
      <c r="G419" s="1" t="s">
        <v>18</v>
      </c>
      <c r="H419" s="1" t="s">
        <v>19</v>
      </c>
      <c r="I419" s="1" t="s">
        <v>39</v>
      </c>
      <c r="J419" s="1">
        <v>17</v>
      </c>
      <c r="K419" s="3">
        <v>76.319999999999993</v>
      </c>
      <c r="L419" s="4">
        <v>7.0000000000000007E-2</v>
      </c>
      <c r="M419" s="3">
        <v>1206.6400000000001</v>
      </c>
      <c r="N419" s="3">
        <v>242.7</v>
      </c>
    </row>
    <row r="420" spans="1:14" x14ac:dyDescent="0.45">
      <c r="A420" s="1" t="s">
        <v>486</v>
      </c>
      <c r="B420" s="2">
        <v>45348</v>
      </c>
      <c r="C420" s="1" t="s">
        <v>48</v>
      </c>
      <c r="D420" s="1" t="s">
        <v>91</v>
      </c>
      <c r="E420" s="1" t="s">
        <v>56</v>
      </c>
      <c r="F420" s="1" t="s">
        <v>24</v>
      </c>
      <c r="G420" s="1" t="s">
        <v>61</v>
      </c>
      <c r="H420" s="1" t="s">
        <v>51</v>
      </c>
      <c r="I420" s="1" t="s">
        <v>27</v>
      </c>
      <c r="J420" s="1">
        <v>4</v>
      </c>
      <c r="K420" s="3">
        <v>582.71</v>
      </c>
      <c r="L420" s="4">
        <v>0.1</v>
      </c>
      <c r="M420" s="3">
        <v>2097.75</v>
      </c>
      <c r="N420" s="3">
        <v>478.32</v>
      </c>
    </row>
    <row r="421" spans="1:14" x14ac:dyDescent="0.45">
      <c r="A421" s="1" t="s">
        <v>487</v>
      </c>
      <c r="B421" s="2">
        <v>45356</v>
      </c>
      <c r="C421" s="1" t="s">
        <v>29</v>
      </c>
      <c r="D421" s="1" t="s">
        <v>37</v>
      </c>
      <c r="E421" s="1" t="s">
        <v>38</v>
      </c>
      <c r="F421" s="1" t="s">
        <v>17</v>
      </c>
      <c r="G421" s="1" t="s">
        <v>74</v>
      </c>
      <c r="H421" s="1" t="s">
        <v>26</v>
      </c>
      <c r="I421" s="1" t="s">
        <v>39</v>
      </c>
      <c r="J421" s="1">
        <v>2</v>
      </c>
      <c r="K421" s="3">
        <v>82.44</v>
      </c>
      <c r="L421" s="4">
        <v>0</v>
      </c>
      <c r="M421" s="3">
        <v>164.88</v>
      </c>
      <c r="N421" s="3">
        <v>-4.9800000000000004</v>
      </c>
    </row>
    <row r="422" spans="1:14" x14ac:dyDescent="0.45">
      <c r="A422" s="1" t="s">
        <v>488</v>
      </c>
      <c r="B422" s="2">
        <v>45379</v>
      </c>
      <c r="C422" s="1" t="s">
        <v>14</v>
      </c>
      <c r="D422" s="1" t="s">
        <v>80</v>
      </c>
      <c r="E422" s="1" t="s">
        <v>92</v>
      </c>
      <c r="F422" s="1" t="s">
        <v>17</v>
      </c>
      <c r="G422" s="1" t="s">
        <v>25</v>
      </c>
      <c r="H422" s="1" t="s">
        <v>26</v>
      </c>
      <c r="I422" s="1" t="s">
        <v>67</v>
      </c>
      <c r="J422" s="1">
        <v>1</v>
      </c>
      <c r="K422" s="3">
        <v>396.73</v>
      </c>
      <c r="L422" s="4">
        <v>0.05</v>
      </c>
      <c r="M422" s="3">
        <v>376.89</v>
      </c>
      <c r="N422" s="3">
        <v>3.75</v>
      </c>
    </row>
    <row r="423" spans="1:14" x14ac:dyDescent="0.45">
      <c r="A423" s="1" t="s">
        <v>489</v>
      </c>
      <c r="B423" s="2">
        <v>45379</v>
      </c>
      <c r="C423" s="1" t="s">
        <v>14</v>
      </c>
      <c r="D423" s="1" t="s">
        <v>22</v>
      </c>
      <c r="E423" s="1" t="s">
        <v>89</v>
      </c>
      <c r="F423" s="1" t="s">
        <v>17</v>
      </c>
      <c r="G423" s="1" t="s">
        <v>57</v>
      </c>
      <c r="H423" s="1" t="s">
        <v>51</v>
      </c>
      <c r="I423" s="1" t="s">
        <v>20</v>
      </c>
      <c r="J423" s="1">
        <v>5</v>
      </c>
      <c r="K423" s="3">
        <v>1249.48</v>
      </c>
      <c r="L423" s="4">
        <v>7.0000000000000007E-2</v>
      </c>
      <c r="M423" s="3">
        <v>5810.06</v>
      </c>
      <c r="N423" s="3">
        <v>975.05</v>
      </c>
    </row>
    <row r="424" spans="1:14" x14ac:dyDescent="0.45">
      <c r="A424" s="1" t="s">
        <v>490</v>
      </c>
      <c r="B424" s="2">
        <v>45369</v>
      </c>
      <c r="C424" s="1" t="s">
        <v>14</v>
      </c>
      <c r="D424" s="1" t="s">
        <v>15</v>
      </c>
      <c r="E424" s="1" t="s">
        <v>92</v>
      </c>
      <c r="F424" s="1" t="s">
        <v>17</v>
      </c>
      <c r="G424" s="1" t="s">
        <v>54</v>
      </c>
      <c r="H424" s="1" t="s">
        <v>51</v>
      </c>
      <c r="I424" s="1" t="s">
        <v>42</v>
      </c>
      <c r="J424" s="1">
        <v>2</v>
      </c>
      <c r="K424" s="3">
        <v>117.46</v>
      </c>
      <c r="L424" s="4">
        <v>0</v>
      </c>
      <c r="M424" s="3">
        <v>234.93</v>
      </c>
      <c r="N424" s="3">
        <v>-32.5</v>
      </c>
    </row>
    <row r="425" spans="1:14" x14ac:dyDescent="0.45">
      <c r="A425" s="1" t="s">
        <v>491</v>
      </c>
      <c r="B425" s="2">
        <v>45377</v>
      </c>
      <c r="C425" s="1" t="s">
        <v>48</v>
      </c>
      <c r="D425" s="1" t="s">
        <v>91</v>
      </c>
      <c r="E425" s="1" t="s">
        <v>87</v>
      </c>
      <c r="F425" s="1" t="s">
        <v>17</v>
      </c>
      <c r="G425" s="1" t="s">
        <v>61</v>
      </c>
      <c r="H425" s="1" t="s">
        <v>51</v>
      </c>
      <c r="I425" s="1" t="s">
        <v>67</v>
      </c>
      <c r="J425" s="1">
        <v>1</v>
      </c>
      <c r="K425" s="3">
        <v>625.48</v>
      </c>
      <c r="L425" s="4">
        <v>0</v>
      </c>
      <c r="M425" s="3">
        <v>625.48</v>
      </c>
      <c r="N425" s="3">
        <v>63.62</v>
      </c>
    </row>
    <row r="426" spans="1:14" x14ac:dyDescent="0.45">
      <c r="A426" s="1" t="s">
        <v>492</v>
      </c>
      <c r="B426" s="2">
        <v>45371</v>
      </c>
      <c r="C426" s="1" t="s">
        <v>48</v>
      </c>
      <c r="D426" s="1" t="s">
        <v>91</v>
      </c>
      <c r="E426" s="1" t="s">
        <v>81</v>
      </c>
      <c r="F426" s="1" t="s">
        <v>17</v>
      </c>
      <c r="G426" s="1" t="s">
        <v>46</v>
      </c>
      <c r="H426" s="1" t="s">
        <v>26</v>
      </c>
      <c r="I426" s="1" t="s">
        <v>67</v>
      </c>
      <c r="J426" s="1">
        <v>4</v>
      </c>
      <c r="K426" s="3">
        <v>550.70000000000005</v>
      </c>
      <c r="L426" s="4">
        <v>0.05</v>
      </c>
      <c r="M426" s="3">
        <v>2092.65</v>
      </c>
      <c r="N426" s="3">
        <v>388.07</v>
      </c>
    </row>
    <row r="427" spans="1:14" x14ac:dyDescent="0.45">
      <c r="A427" s="1" t="s">
        <v>493</v>
      </c>
      <c r="B427" s="2">
        <v>45378</v>
      </c>
      <c r="C427" s="1" t="s">
        <v>48</v>
      </c>
      <c r="D427" s="1" t="s">
        <v>49</v>
      </c>
      <c r="E427" s="1" t="s">
        <v>41</v>
      </c>
      <c r="F427" s="1" t="s">
        <v>24</v>
      </c>
      <c r="G427" s="1" t="s">
        <v>50</v>
      </c>
      <c r="H427" s="1" t="s">
        <v>51</v>
      </c>
      <c r="I427" s="1" t="s">
        <v>35</v>
      </c>
      <c r="J427" s="1">
        <v>6</v>
      </c>
      <c r="K427" s="3">
        <v>341.74</v>
      </c>
      <c r="L427" s="4">
        <v>7.0000000000000007E-2</v>
      </c>
      <c r="M427" s="3">
        <v>1906.92</v>
      </c>
      <c r="N427" s="3">
        <v>419.82</v>
      </c>
    </row>
    <row r="428" spans="1:14" x14ac:dyDescent="0.45">
      <c r="A428" s="1" t="s">
        <v>494</v>
      </c>
      <c r="B428" s="2">
        <v>45352</v>
      </c>
      <c r="C428" s="1" t="s">
        <v>29</v>
      </c>
      <c r="D428" s="1" t="s">
        <v>37</v>
      </c>
      <c r="E428" s="1" t="s">
        <v>60</v>
      </c>
      <c r="F428" s="1" t="s">
        <v>24</v>
      </c>
      <c r="G428" s="1" t="s">
        <v>57</v>
      </c>
      <c r="H428" s="1" t="s">
        <v>51</v>
      </c>
      <c r="I428" s="1" t="s">
        <v>39</v>
      </c>
      <c r="J428" s="1">
        <v>9</v>
      </c>
      <c r="K428" s="3">
        <v>81.069999999999993</v>
      </c>
      <c r="L428" s="4">
        <v>0.05</v>
      </c>
      <c r="M428" s="3">
        <v>693.19</v>
      </c>
      <c r="N428" s="3">
        <v>105.54</v>
      </c>
    </row>
    <row r="429" spans="1:14" x14ac:dyDescent="0.45">
      <c r="A429" s="1" t="s">
        <v>495</v>
      </c>
      <c r="B429" s="2">
        <v>45369</v>
      </c>
      <c r="C429" s="1" t="s">
        <v>29</v>
      </c>
      <c r="D429" s="1" t="s">
        <v>30</v>
      </c>
      <c r="E429" s="1" t="s">
        <v>41</v>
      </c>
      <c r="F429" s="1" t="s">
        <v>32</v>
      </c>
      <c r="G429" s="1" t="s">
        <v>18</v>
      </c>
      <c r="H429" s="1" t="s">
        <v>19</v>
      </c>
      <c r="I429" s="1" t="s">
        <v>42</v>
      </c>
      <c r="J429" s="1">
        <v>9</v>
      </c>
      <c r="K429" s="3">
        <v>50.65</v>
      </c>
      <c r="L429" s="4">
        <v>0</v>
      </c>
      <c r="M429" s="3">
        <v>455.88</v>
      </c>
      <c r="N429" s="3">
        <v>56.91</v>
      </c>
    </row>
    <row r="430" spans="1:14" x14ac:dyDescent="0.45">
      <c r="A430" s="1" t="s">
        <v>496</v>
      </c>
      <c r="B430" s="2">
        <v>45359</v>
      </c>
      <c r="C430" s="1" t="s">
        <v>48</v>
      </c>
      <c r="D430" s="1" t="s">
        <v>78</v>
      </c>
      <c r="E430" s="1" t="s">
        <v>81</v>
      </c>
      <c r="F430" s="1" t="s">
        <v>17</v>
      </c>
      <c r="G430" s="1" t="s">
        <v>54</v>
      </c>
      <c r="H430" s="1" t="s">
        <v>51</v>
      </c>
      <c r="I430" s="1" t="s">
        <v>35</v>
      </c>
      <c r="J430" s="1">
        <v>2</v>
      </c>
      <c r="K430" s="3">
        <v>549.66</v>
      </c>
      <c r="L430" s="4">
        <v>0.1</v>
      </c>
      <c r="M430" s="3">
        <v>989.39</v>
      </c>
      <c r="N430" s="3">
        <v>227.35</v>
      </c>
    </row>
    <row r="431" spans="1:14" x14ac:dyDescent="0.45">
      <c r="A431" s="1" t="s">
        <v>497</v>
      </c>
      <c r="B431" s="2">
        <v>45362</v>
      </c>
      <c r="C431" s="1" t="s">
        <v>29</v>
      </c>
      <c r="D431" s="1" t="s">
        <v>44</v>
      </c>
      <c r="E431" s="1" t="s">
        <v>95</v>
      </c>
      <c r="F431" s="1" t="s">
        <v>24</v>
      </c>
      <c r="G431" s="1" t="s">
        <v>46</v>
      </c>
      <c r="H431" s="1" t="s">
        <v>26</v>
      </c>
      <c r="I431" s="1" t="s">
        <v>35</v>
      </c>
      <c r="J431" s="1">
        <v>7</v>
      </c>
      <c r="K431" s="3">
        <v>31.69</v>
      </c>
      <c r="L431" s="4">
        <v>0.1</v>
      </c>
      <c r="M431" s="3">
        <v>199.64</v>
      </c>
      <c r="N431" s="3">
        <v>27.15</v>
      </c>
    </row>
    <row r="432" spans="1:14" x14ac:dyDescent="0.45">
      <c r="A432" s="1" t="s">
        <v>498</v>
      </c>
      <c r="B432" s="2">
        <v>45357</v>
      </c>
      <c r="C432" s="1" t="s">
        <v>14</v>
      </c>
      <c r="D432" s="1" t="s">
        <v>15</v>
      </c>
      <c r="E432" s="1" t="s">
        <v>81</v>
      </c>
      <c r="F432" s="1" t="s">
        <v>17</v>
      </c>
      <c r="G432" s="1" t="s">
        <v>25</v>
      </c>
      <c r="H432" s="1" t="s">
        <v>26</v>
      </c>
      <c r="I432" s="1" t="s">
        <v>20</v>
      </c>
      <c r="J432" s="1">
        <v>8</v>
      </c>
      <c r="K432" s="3">
        <v>100.66</v>
      </c>
      <c r="L432" s="4">
        <v>7.0000000000000007E-2</v>
      </c>
      <c r="M432" s="3">
        <v>748.87</v>
      </c>
      <c r="N432" s="3">
        <v>104.12</v>
      </c>
    </row>
    <row r="433" spans="1:14" x14ac:dyDescent="0.45">
      <c r="A433" s="1" t="s">
        <v>499</v>
      </c>
      <c r="B433" s="2">
        <v>45378</v>
      </c>
      <c r="C433" s="1" t="s">
        <v>14</v>
      </c>
      <c r="D433" s="1" t="s">
        <v>15</v>
      </c>
      <c r="E433" s="1" t="s">
        <v>104</v>
      </c>
      <c r="F433" s="1" t="s">
        <v>17</v>
      </c>
      <c r="G433" s="1" t="s">
        <v>57</v>
      </c>
      <c r="H433" s="1" t="s">
        <v>51</v>
      </c>
      <c r="I433" s="1" t="s">
        <v>67</v>
      </c>
      <c r="J433" s="1">
        <v>3</v>
      </c>
      <c r="K433" s="3">
        <v>93</v>
      </c>
      <c r="L433" s="4">
        <v>0.03</v>
      </c>
      <c r="M433" s="3">
        <v>270.62</v>
      </c>
      <c r="N433" s="3">
        <v>3.86</v>
      </c>
    </row>
    <row r="434" spans="1:14" x14ac:dyDescent="0.45">
      <c r="A434" s="1" t="s">
        <v>500</v>
      </c>
      <c r="B434" s="2">
        <v>45373</v>
      </c>
      <c r="C434" s="1" t="s">
        <v>29</v>
      </c>
      <c r="D434" s="1" t="s">
        <v>44</v>
      </c>
      <c r="E434" s="1" t="s">
        <v>23</v>
      </c>
      <c r="F434" s="1" t="s">
        <v>32</v>
      </c>
      <c r="G434" s="1" t="s">
        <v>33</v>
      </c>
      <c r="H434" s="1" t="s">
        <v>34</v>
      </c>
      <c r="I434" s="1" t="s">
        <v>39</v>
      </c>
      <c r="J434" s="1">
        <v>9</v>
      </c>
      <c r="K434" s="3">
        <v>36.29</v>
      </c>
      <c r="L434" s="4">
        <v>0</v>
      </c>
      <c r="M434" s="3">
        <v>326.57</v>
      </c>
      <c r="N434" s="3">
        <v>0.61</v>
      </c>
    </row>
    <row r="435" spans="1:14" x14ac:dyDescent="0.45">
      <c r="A435" s="1" t="s">
        <v>501</v>
      </c>
      <c r="B435" s="2">
        <v>45352</v>
      </c>
      <c r="C435" s="1" t="s">
        <v>48</v>
      </c>
      <c r="D435" s="1" t="s">
        <v>49</v>
      </c>
      <c r="E435" s="1" t="s">
        <v>92</v>
      </c>
      <c r="F435" s="1" t="s">
        <v>32</v>
      </c>
      <c r="G435" s="1" t="s">
        <v>50</v>
      </c>
      <c r="H435" s="1" t="s">
        <v>51</v>
      </c>
      <c r="I435" s="1" t="s">
        <v>42</v>
      </c>
      <c r="J435" s="1">
        <v>3</v>
      </c>
      <c r="K435" s="3">
        <v>319.89</v>
      </c>
      <c r="L435" s="4">
        <v>0</v>
      </c>
      <c r="M435" s="3">
        <v>959.68</v>
      </c>
      <c r="N435" s="3">
        <v>174.34</v>
      </c>
    </row>
    <row r="436" spans="1:14" x14ac:dyDescent="0.45">
      <c r="A436" s="1" t="s">
        <v>502</v>
      </c>
      <c r="B436" s="2">
        <v>45364</v>
      </c>
      <c r="C436" s="1" t="s">
        <v>14</v>
      </c>
      <c r="D436" s="1" t="s">
        <v>15</v>
      </c>
      <c r="E436" s="1" t="s">
        <v>60</v>
      </c>
      <c r="F436" s="1" t="s">
        <v>24</v>
      </c>
      <c r="G436" s="1" t="s">
        <v>25</v>
      </c>
      <c r="H436" s="1" t="s">
        <v>26</v>
      </c>
      <c r="I436" s="1" t="s">
        <v>27</v>
      </c>
      <c r="J436" s="1">
        <v>12</v>
      </c>
      <c r="K436" s="3">
        <v>94.34</v>
      </c>
      <c r="L436" s="4">
        <v>0.03</v>
      </c>
      <c r="M436" s="3">
        <v>1098.1600000000001</v>
      </c>
      <c r="N436" s="3">
        <v>248.79</v>
      </c>
    </row>
    <row r="437" spans="1:14" x14ac:dyDescent="0.45">
      <c r="A437" s="1" t="s">
        <v>503</v>
      </c>
      <c r="B437" s="2">
        <v>45370</v>
      </c>
      <c r="C437" s="1" t="s">
        <v>29</v>
      </c>
      <c r="D437" s="1" t="s">
        <v>37</v>
      </c>
      <c r="E437" s="1" t="s">
        <v>92</v>
      </c>
      <c r="F437" s="1" t="s">
        <v>17</v>
      </c>
      <c r="G437" s="1" t="s">
        <v>46</v>
      </c>
      <c r="H437" s="1" t="s">
        <v>26</v>
      </c>
      <c r="I437" s="1" t="s">
        <v>39</v>
      </c>
      <c r="J437" s="1">
        <v>15</v>
      </c>
      <c r="K437" s="3">
        <v>76.72</v>
      </c>
      <c r="L437" s="4">
        <v>0.1</v>
      </c>
      <c r="M437" s="3">
        <v>1035.74</v>
      </c>
      <c r="N437" s="3">
        <v>217.94</v>
      </c>
    </row>
    <row r="438" spans="1:14" x14ac:dyDescent="0.45">
      <c r="A438" s="1" t="s">
        <v>504</v>
      </c>
      <c r="B438" s="2">
        <v>45371</v>
      </c>
      <c r="C438" s="1" t="s">
        <v>29</v>
      </c>
      <c r="D438" s="1" t="s">
        <v>44</v>
      </c>
      <c r="E438" s="1" t="s">
        <v>87</v>
      </c>
      <c r="F438" s="1" t="s">
        <v>17</v>
      </c>
      <c r="G438" s="1" t="s">
        <v>33</v>
      </c>
      <c r="H438" s="1" t="s">
        <v>34</v>
      </c>
      <c r="I438" s="1" t="s">
        <v>67</v>
      </c>
      <c r="J438" s="1">
        <v>9</v>
      </c>
      <c r="K438" s="3">
        <v>36.6</v>
      </c>
      <c r="L438" s="4">
        <v>0.1</v>
      </c>
      <c r="M438" s="3">
        <v>296.44</v>
      </c>
      <c r="N438" s="3">
        <v>29.88</v>
      </c>
    </row>
    <row r="439" spans="1:14" x14ac:dyDescent="0.45">
      <c r="A439" s="1" t="s">
        <v>505</v>
      </c>
      <c r="B439" s="2">
        <v>45404</v>
      </c>
      <c r="C439" s="1" t="s">
        <v>14</v>
      </c>
      <c r="D439" s="1" t="s">
        <v>22</v>
      </c>
      <c r="E439" s="1" t="s">
        <v>69</v>
      </c>
      <c r="F439" s="1" t="s">
        <v>17</v>
      </c>
      <c r="G439" s="1" t="s">
        <v>33</v>
      </c>
      <c r="H439" s="1" t="s">
        <v>34</v>
      </c>
      <c r="I439" s="1" t="s">
        <v>20</v>
      </c>
      <c r="J439" s="1">
        <v>7</v>
      </c>
      <c r="K439" s="3">
        <v>1597.48</v>
      </c>
      <c r="L439" s="4">
        <v>0.1</v>
      </c>
      <c r="M439" s="3">
        <v>10064.11</v>
      </c>
      <c r="N439" s="3">
        <v>1769.4</v>
      </c>
    </row>
    <row r="440" spans="1:14" x14ac:dyDescent="0.45">
      <c r="A440" s="1" t="s">
        <v>506</v>
      </c>
      <c r="B440" s="2">
        <v>45411</v>
      </c>
      <c r="C440" s="1" t="s">
        <v>29</v>
      </c>
      <c r="D440" s="1" t="s">
        <v>44</v>
      </c>
      <c r="E440" s="1" t="s">
        <v>87</v>
      </c>
      <c r="F440" s="1" t="s">
        <v>17</v>
      </c>
      <c r="G440" s="1" t="s">
        <v>50</v>
      </c>
      <c r="H440" s="1" t="s">
        <v>51</v>
      </c>
      <c r="I440" s="1" t="s">
        <v>39</v>
      </c>
      <c r="J440" s="1">
        <v>5</v>
      </c>
      <c r="K440" s="3">
        <v>32.54</v>
      </c>
      <c r="L440" s="4">
        <v>0</v>
      </c>
      <c r="M440" s="3">
        <v>162.71</v>
      </c>
      <c r="N440" s="3">
        <v>4.8499999999999996</v>
      </c>
    </row>
    <row r="441" spans="1:14" x14ac:dyDescent="0.45">
      <c r="A441" s="1" t="s">
        <v>507</v>
      </c>
      <c r="B441" s="2">
        <v>45408</v>
      </c>
      <c r="C441" s="1" t="s">
        <v>14</v>
      </c>
      <c r="D441" s="1" t="s">
        <v>80</v>
      </c>
      <c r="E441" s="1" t="s">
        <v>81</v>
      </c>
      <c r="F441" s="1" t="s">
        <v>32</v>
      </c>
      <c r="G441" s="1" t="s">
        <v>46</v>
      </c>
      <c r="H441" s="1" t="s">
        <v>26</v>
      </c>
      <c r="I441" s="1" t="s">
        <v>35</v>
      </c>
      <c r="J441" s="1">
        <v>5</v>
      </c>
      <c r="K441" s="3">
        <v>361.75</v>
      </c>
      <c r="L441" s="4">
        <v>0.05</v>
      </c>
      <c r="M441" s="3">
        <v>1718.32</v>
      </c>
      <c r="N441" s="3">
        <v>203.3</v>
      </c>
    </row>
    <row r="442" spans="1:14" x14ac:dyDescent="0.45">
      <c r="A442" s="1" t="s">
        <v>508</v>
      </c>
      <c r="B442" s="2">
        <v>45385</v>
      </c>
      <c r="C442" s="1" t="s">
        <v>14</v>
      </c>
      <c r="D442" s="1" t="s">
        <v>15</v>
      </c>
      <c r="E442" s="1" t="s">
        <v>73</v>
      </c>
      <c r="F442" s="1" t="s">
        <v>17</v>
      </c>
      <c r="G442" s="1" t="s">
        <v>74</v>
      </c>
      <c r="H442" s="1" t="s">
        <v>26</v>
      </c>
      <c r="I442" s="1" t="s">
        <v>35</v>
      </c>
      <c r="J442" s="1">
        <v>13</v>
      </c>
      <c r="K442" s="3">
        <v>89.26</v>
      </c>
      <c r="L442" s="4">
        <v>7.0000000000000007E-2</v>
      </c>
      <c r="M442" s="3">
        <v>1079.2</v>
      </c>
      <c r="N442" s="3">
        <v>218.24</v>
      </c>
    </row>
    <row r="443" spans="1:14" x14ac:dyDescent="0.45">
      <c r="A443" s="1" t="s">
        <v>509</v>
      </c>
      <c r="B443" s="2">
        <v>45399</v>
      </c>
      <c r="C443" s="1" t="s">
        <v>29</v>
      </c>
      <c r="D443" s="1" t="s">
        <v>37</v>
      </c>
      <c r="E443" s="1" t="s">
        <v>89</v>
      </c>
      <c r="F443" s="1" t="s">
        <v>24</v>
      </c>
      <c r="G443" s="1" t="s">
        <v>18</v>
      </c>
      <c r="H443" s="1" t="s">
        <v>19</v>
      </c>
      <c r="I443" s="1" t="s">
        <v>20</v>
      </c>
      <c r="J443" s="1">
        <v>7</v>
      </c>
      <c r="K443" s="3">
        <v>85.72</v>
      </c>
      <c r="L443" s="4">
        <v>0.03</v>
      </c>
      <c r="M443" s="3">
        <v>582.04999999999995</v>
      </c>
      <c r="N443" s="3">
        <v>80.430000000000007</v>
      </c>
    </row>
    <row r="444" spans="1:14" x14ac:dyDescent="0.45">
      <c r="A444" s="1" t="s">
        <v>510</v>
      </c>
      <c r="B444" s="2">
        <v>45393</v>
      </c>
      <c r="C444" s="1" t="s">
        <v>14</v>
      </c>
      <c r="D444" s="1" t="s">
        <v>22</v>
      </c>
      <c r="E444" s="1" t="s">
        <v>53</v>
      </c>
      <c r="F444" s="1" t="s">
        <v>17</v>
      </c>
      <c r="G444" s="1" t="s">
        <v>33</v>
      </c>
      <c r="H444" s="1" t="s">
        <v>34</v>
      </c>
      <c r="I444" s="1" t="s">
        <v>35</v>
      </c>
      <c r="J444" s="1">
        <v>6</v>
      </c>
      <c r="K444" s="3">
        <v>1631.45</v>
      </c>
      <c r="L444" s="4">
        <v>0.1</v>
      </c>
      <c r="M444" s="3">
        <v>8809.84</v>
      </c>
      <c r="N444" s="3">
        <v>1346.32</v>
      </c>
    </row>
    <row r="445" spans="1:14" x14ac:dyDescent="0.45">
      <c r="A445" s="1" t="s">
        <v>511</v>
      </c>
      <c r="B445" s="2">
        <v>45393</v>
      </c>
      <c r="C445" s="1" t="s">
        <v>29</v>
      </c>
      <c r="D445" s="1" t="s">
        <v>44</v>
      </c>
      <c r="E445" s="1" t="s">
        <v>23</v>
      </c>
      <c r="F445" s="1" t="s">
        <v>32</v>
      </c>
      <c r="G445" s="1" t="s">
        <v>74</v>
      </c>
      <c r="H445" s="1" t="s">
        <v>26</v>
      </c>
      <c r="I445" s="1" t="s">
        <v>39</v>
      </c>
      <c r="J445" s="1">
        <v>7</v>
      </c>
      <c r="K445" s="3">
        <v>28.81</v>
      </c>
      <c r="L445" s="4">
        <v>0</v>
      </c>
      <c r="M445" s="3">
        <v>201.7</v>
      </c>
      <c r="N445" s="3">
        <v>10.79</v>
      </c>
    </row>
    <row r="446" spans="1:14" x14ac:dyDescent="0.45">
      <c r="A446" s="1" t="s">
        <v>512</v>
      </c>
      <c r="B446" s="2">
        <v>45399</v>
      </c>
      <c r="C446" s="1" t="s">
        <v>48</v>
      </c>
      <c r="D446" s="1" t="s">
        <v>78</v>
      </c>
      <c r="E446" s="1" t="s">
        <v>95</v>
      </c>
      <c r="F446" s="1" t="s">
        <v>17</v>
      </c>
      <c r="G446" s="1" t="s">
        <v>66</v>
      </c>
      <c r="H446" s="1" t="s">
        <v>26</v>
      </c>
      <c r="I446" s="1" t="s">
        <v>39</v>
      </c>
      <c r="J446" s="1">
        <v>2</v>
      </c>
      <c r="K446" s="3">
        <v>491.45</v>
      </c>
      <c r="L446" s="4">
        <v>0.05</v>
      </c>
      <c r="M446" s="3">
        <v>933.76</v>
      </c>
      <c r="N446" s="3">
        <v>195.47</v>
      </c>
    </row>
    <row r="447" spans="1:14" x14ac:dyDescent="0.45">
      <c r="A447" s="1" t="s">
        <v>513</v>
      </c>
      <c r="B447" s="2">
        <v>45394</v>
      </c>
      <c r="C447" s="1" t="s">
        <v>48</v>
      </c>
      <c r="D447" s="1" t="s">
        <v>49</v>
      </c>
      <c r="E447" s="1" t="s">
        <v>81</v>
      </c>
      <c r="F447" s="1" t="s">
        <v>24</v>
      </c>
      <c r="G447" s="1" t="s">
        <v>66</v>
      </c>
      <c r="H447" s="1" t="s">
        <v>26</v>
      </c>
      <c r="I447" s="1" t="s">
        <v>20</v>
      </c>
      <c r="J447" s="1">
        <v>2</v>
      </c>
      <c r="K447" s="3">
        <v>358.66</v>
      </c>
      <c r="L447" s="4">
        <v>0.05</v>
      </c>
      <c r="M447" s="3">
        <v>681.46</v>
      </c>
      <c r="N447" s="3">
        <v>101.82</v>
      </c>
    </row>
    <row r="448" spans="1:14" x14ac:dyDescent="0.45">
      <c r="A448" s="1" t="s">
        <v>514</v>
      </c>
      <c r="B448" s="2">
        <v>45404</v>
      </c>
      <c r="C448" s="1" t="s">
        <v>29</v>
      </c>
      <c r="D448" s="1" t="s">
        <v>37</v>
      </c>
      <c r="E448" s="1" t="s">
        <v>56</v>
      </c>
      <c r="F448" s="1" t="s">
        <v>24</v>
      </c>
      <c r="G448" s="1" t="s">
        <v>33</v>
      </c>
      <c r="H448" s="1" t="s">
        <v>34</v>
      </c>
      <c r="I448" s="1" t="s">
        <v>20</v>
      </c>
      <c r="J448" s="1">
        <v>2</v>
      </c>
      <c r="K448" s="3">
        <v>89.68</v>
      </c>
      <c r="L448" s="4">
        <v>0.03</v>
      </c>
      <c r="M448" s="3">
        <v>173.97</v>
      </c>
      <c r="N448" s="3">
        <v>16.79</v>
      </c>
    </row>
    <row r="449" spans="1:14" x14ac:dyDescent="0.45">
      <c r="A449" s="1" t="s">
        <v>515</v>
      </c>
      <c r="B449" s="2">
        <v>45407</v>
      </c>
      <c r="C449" s="1" t="s">
        <v>29</v>
      </c>
      <c r="D449" s="1" t="s">
        <v>37</v>
      </c>
      <c r="E449" s="1" t="s">
        <v>73</v>
      </c>
      <c r="F449" s="1" t="s">
        <v>32</v>
      </c>
      <c r="G449" s="1" t="s">
        <v>18</v>
      </c>
      <c r="H449" s="1" t="s">
        <v>19</v>
      </c>
      <c r="I449" s="1" t="s">
        <v>20</v>
      </c>
      <c r="J449" s="1">
        <v>7</v>
      </c>
      <c r="K449" s="3">
        <v>85.14</v>
      </c>
      <c r="L449" s="4">
        <v>0.05</v>
      </c>
      <c r="M449" s="3">
        <v>566.19000000000005</v>
      </c>
      <c r="N449" s="3">
        <v>86.62</v>
      </c>
    </row>
    <row r="450" spans="1:14" x14ac:dyDescent="0.45">
      <c r="A450" s="1" t="s">
        <v>516</v>
      </c>
      <c r="B450" s="2">
        <v>45387</v>
      </c>
      <c r="C450" s="1" t="s">
        <v>29</v>
      </c>
      <c r="D450" s="1" t="s">
        <v>37</v>
      </c>
      <c r="E450" s="1" t="s">
        <v>65</v>
      </c>
      <c r="F450" s="1" t="s">
        <v>32</v>
      </c>
      <c r="G450" s="1" t="s">
        <v>50</v>
      </c>
      <c r="H450" s="1" t="s">
        <v>51</v>
      </c>
      <c r="I450" s="1" t="s">
        <v>39</v>
      </c>
      <c r="J450" s="1">
        <v>9</v>
      </c>
      <c r="K450" s="3">
        <v>88.51</v>
      </c>
      <c r="L450" s="4">
        <v>0.05</v>
      </c>
      <c r="M450" s="3">
        <v>756.76</v>
      </c>
      <c r="N450" s="3">
        <v>119.01</v>
      </c>
    </row>
    <row r="451" spans="1:14" x14ac:dyDescent="0.45">
      <c r="A451" s="1" t="s">
        <v>517</v>
      </c>
      <c r="B451" s="2">
        <v>45404</v>
      </c>
      <c r="C451" s="1" t="s">
        <v>29</v>
      </c>
      <c r="D451" s="1" t="s">
        <v>30</v>
      </c>
      <c r="E451" s="1" t="s">
        <v>23</v>
      </c>
      <c r="F451" s="1" t="s">
        <v>17</v>
      </c>
      <c r="G451" s="1" t="s">
        <v>54</v>
      </c>
      <c r="H451" s="1" t="s">
        <v>51</v>
      </c>
      <c r="I451" s="1" t="s">
        <v>35</v>
      </c>
      <c r="J451" s="1">
        <v>11</v>
      </c>
      <c r="K451" s="3">
        <v>59.28</v>
      </c>
      <c r="L451" s="4">
        <v>0</v>
      </c>
      <c r="M451" s="3">
        <v>652.04</v>
      </c>
      <c r="N451" s="3">
        <v>84.01</v>
      </c>
    </row>
    <row r="452" spans="1:14" x14ac:dyDescent="0.45">
      <c r="A452" s="1" t="s">
        <v>518</v>
      </c>
      <c r="B452" s="2">
        <v>45399</v>
      </c>
      <c r="C452" s="1" t="s">
        <v>29</v>
      </c>
      <c r="D452" s="1" t="s">
        <v>30</v>
      </c>
      <c r="E452" s="1" t="s">
        <v>65</v>
      </c>
      <c r="F452" s="1" t="s">
        <v>24</v>
      </c>
      <c r="G452" s="1" t="s">
        <v>61</v>
      </c>
      <c r="H452" s="1" t="s">
        <v>51</v>
      </c>
      <c r="I452" s="1" t="s">
        <v>20</v>
      </c>
      <c r="J452" s="1">
        <v>2</v>
      </c>
      <c r="K452" s="3">
        <v>53.83</v>
      </c>
      <c r="L452" s="4">
        <v>0</v>
      </c>
      <c r="M452" s="3">
        <v>107.67</v>
      </c>
      <c r="N452" s="3">
        <v>-21.12</v>
      </c>
    </row>
    <row r="453" spans="1:14" x14ac:dyDescent="0.45">
      <c r="A453" s="1" t="s">
        <v>519</v>
      </c>
      <c r="B453" s="2">
        <v>45408</v>
      </c>
      <c r="C453" s="1" t="s">
        <v>14</v>
      </c>
      <c r="D453" s="1" t="s">
        <v>22</v>
      </c>
      <c r="E453" s="1" t="s">
        <v>60</v>
      </c>
      <c r="F453" s="1" t="s">
        <v>17</v>
      </c>
      <c r="G453" s="1" t="s">
        <v>61</v>
      </c>
      <c r="H453" s="1" t="s">
        <v>51</v>
      </c>
      <c r="I453" s="1" t="s">
        <v>35</v>
      </c>
      <c r="J453" s="1">
        <v>2</v>
      </c>
      <c r="K453" s="3">
        <v>1469.45</v>
      </c>
      <c r="L453" s="4">
        <v>0</v>
      </c>
      <c r="M453" s="3">
        <v>2938.89</v>
      </c>
      <c r="N453" s="3">
        <v>431.09</v>
      </c>
    </row>
    <row r="454" spans="1:14" x14ac:dyDescent="0.45">
      <c r="A454" s="1" t="s">
        <v>520</v>
      </c>
      <c r="B454" s="2">
        <v>45411</v>
      </c>
      <c r="C454" s="1" t="s">
        <v>48</v>
      </c>
      <c r="D454" s="1" t="s">
        <v>78</v>
      </c>
      <c r="E454" s="1" t="s">
        <v>65</v>
      </c>
      <c r="F454" s="1" t="s">
        <v>24</v>
      </c>
      <c r="G454" s="1" t="s">
        <v>18</v>
      </c>
      <c r="H454" s="1" t="s">
        <v>19</v>
      </c>
      <c r="I454" s="1" t="s">
        <v>42</v>
      </c>
      <c r="J454" s="1">
        <v>5</v>
      </c>
      <c r="K454" s="3">
        <v>476.25</v>
      </c>
      <c r="L454" s="4">
        <v>0</v>
      </c>
      <c r="M454" s="3">
        <v>2381.27</v>
      </c>
      <c r="N454" s="3">
        <v>433.23</v>
      </c>
    </row>
    <row r="455" spans="1:14" x14ac:dyDescent="0.45">
      <c r="A455" s="1" t="s">
        <v>521</v>
      </c>
      <c r="B455" s="2">
        <v>45383</v>
      </c>
      <c r="C455" s="1" t="s">
        <v>29</v>
      </c>
      <c r="D455" s="1" t="s">
        <v>37</v>
      </c>
      <c r="E455" s="1" t="s">
        <v>81</v>
      </c>
      <c r="F455" s="1" t="s">
        <v>24</v>
      </c>
      <c r="G455" s="1" t="s">
        <v>57</v>
      </c>
      <c r="H455" s="1" t="s">
        <v>51</v>
      </c>
      <c r="I455" s="1" t="s">
        <v>67</v>
      </c>
      <c r="J455" s="1">
        <v>17</v>
      </c>
      <c r="K455" s="3">
        <v>76.42</v>
      </c>
      <c r="L455" s="4">
        <v>0</v>
      </c>
      <c r="M455" s="3">
        <v>1299.17</v>
      </c>
      <c r="N455" s="3">
        <v>180.16</v>
      </c>
    </row>
    <row r="456" spans="1:14" x14ac:dyDescent="0.45">
      <c r="A456" s="1" t="s">
        <v>522</v>
      </c>
      <c r="B456" s="2">
        <v>45391</v>
      </c>
      <c r="C456" s="1" t="s">
        <v>14</v>
      </c>
      <c r="D456" s="1" t="s">
        <v>22</v>
      </c>
      <c r="E456" s="1" t="s">
        <v>81</v>
      </c>
      <c r="F456" s="1" t="s">
        <v>17</v>
      </c>
      <c r="G456" s="1" t="s">
        <v>18</v>
      </c>
      <c r="H456" s="1" t="s">
        <v>19</v>
      </c>
      <c r="I456" s="1" t="s">
        <v>42</v>
      </c>
      <c r="J456" s="1">
        <v>8</v>
      </c>
      <c r="K456" s="3">
        <v>1445.49</v>
      </c>
      <c r="L456" s="4">
        <v>0</v>
      </c>
      <c r="M456" s="3">
        <v>11563.92</v>
      </c>
      <c r="N456" s="3">
        <v>1686.13</v>
      </c>
    </row>
    <row r="457" spans="1:14" x14ac:dyDescent="0.45">
      <c r="A457" s="1" t="s">
        <v>523</v>
      </c>
      <c r="B457" s="2">
        <v>45415</v>
      </c>
      <c r="C457" s="1" t="s">
        <v>29</v>
      </c>
      <c r="D457" s="1" t="s">
        <v>44</v>
      </c>
      <c r="E457" s="1" t="s">
        <v>92</v>
      </c>
      <c r="F457" s="1" t="s">
        <v>32</v>
      </c>
      <c r="G457" s="1" t="s">
        <v>57</v>
      </c>
      <c r="H457" s="1" t="s">
        <v>51</v>
      </c>
      <c r="I457" s="1" t="s">
        <v>42</v>
      </c>
      <c r="J457" s="1">
        <v>3</v>
      </c>
      <c r="K457" s="3">
        <v>29.99</v>
      </c>
      <c r="L457" s="4">
        <v>0</v>
      </c>
      <c r="M457" s="3">
        <v>89.98</v>
      </c>
      <c r="N457" s="3">
        <v>-34.83</v>
      </c>
    </row>
    <row r="458" spans="1:14" x14ac:dyDescent="0.45">
      <c r="A458" s="1" t="s">
        <v>524</v>
      </c>
      <c r="B458" s="2">
        <v>45433</v>
      </c>
      <c r="C458" s="1" t="s">
        <v>48</v>
      </c>
      <c r="D458" s="1" t="s">
        <v>91</v>
      </c>
      <c r="E458" s="1" t="s">
        <v>95</v>
      </c>
      <c r="F458" s="1" t="s">
        <v>32</v>
      </c>
      <c r="G458" s="1" t="s">
        <v>33</v>
      </c>
      <c r="H458" s="1" t="s">
        <v>34</v>
      </c>
      <c r="I458" s="1" t="s">
        <v>39</v>
      </c>
      <c r="J458" s="1">
        <v>1</v>
      </c>
      <c r="K458" s="3">
        <v>648.66</v>
      </c>
      <c r="L458" s="4">
        <v>0.1</v>
      </c>
      <c r="M458" s="3">
        <v>583.79</v>
      </c>
      <c r="N458" s="3">
        <v>-7.2</v>
      </c>
    </row>
    <row r="459" spans="1:14" x14ac:dyDescent="0.45">
      <c r="A459" s="1" t="s">
        <v>525</v>
      </c>
      <c r="B459" s="2">
        <v>45426</v>
      </c>
      <c r="C459" s="1" t="s">
        <v>14</v>
      </c>
      <c r="D459" s="1" t="s">
        <v>15</v>
      </c>
      <c r="E459" s="1" t="s">
        <v>95</v>
      </c>
      <c r="F459" s="1" t="s">
        <v>32</v>
      </c>
      <c r="G459" s="1" t="s">
        <v>54</v>
      </c>
      <c r="H459" s="1" t="s">
        <v>51</v>
      </c>
      <c r="I459" s="1" t="s">
        <v>42</v>
      </c>
      <c r="J459" s="1">
        <v>5</v>
      </c>
      <c r="K459" s="3">
        <v>116.16</v>
      </c>
      <c r="L459" s="4">
        <v>0</v>
      </c>
      <c r="M459" s="3">
        <v>580.79999999999995</v>
      </c>
      <c r="N459" s="3">
        <v>72.36</v>
      </c>
    </row>
    <row r="460" spans="1:14" x14ac:dyDescent="0.45">
      <c r="A460" s="1" t="s">
        <v>526</v>
      </c>
      <c r="B460" s="2">
        <v>45443</v>
      </c>
      <c r="C460" s="1" t="s">
        <v>29</v>
      </c>
      <c r="D460" s="1" t="s">
        <v>30</v>
      </c>
      <c r="E460" s="1" t="s">
        <v>73</v>
      </c>
      <c r="F460" s="1" t="s">
        <v>24</v>
      </c>
      <c r="G460" s="1" t="s">
        <v>54</v>
      </c>
      <c r="H460" s="1" t="s">
        <v>51</v>
      </c>
      <c r="I460" s="1" t="s">
        <v>27</v>
      </c>
      <c r="J460" s="1">
        <v>10</v>
      </c>
      <c r="K460" s="3">
        <v>61.16</v>
      </c>
      <c r="L460" s="4">
        <v>0.03</v>
      </c>
      <c r="M460" s="3">
        <v>593.22</v>
      </c>
      <c r="N460" s="3">
        <v>27.42</v>
      </c>
    </row>
    <row r="461" spans="1:14" x14ac:dyDescent="0.45">
      <c r="A461" s="1" t="s">
        <v>527</v>
      </c>
      <c r="B461" s="2">
        <v>45413</v>
      </c>
      <c r="C461" s="1" t="s">
        <v>14</v>
      </c>
      <c r="D461" s="1" t="s">
        <v>22</v>
      </c>
      <c r="E461" s="1" t="s">
        <v>31</v>
      </c>
      <c r="F461" s="1" t="s">
        <v>32</v>
      </c>
      <c r="G461" s="1" t="s">
        <v>25</v>
      </c>
      <c r="H461" s="1" t="s">
        <v>26</v>
      </c>
      <c r="I461" s="1" t="s">
        <v>27</v>
      </c>
      <c r="J461" s="1">
        <v>3</v>
      </c>
      <c r="K461" s="3">
        <v>1547.39</v>
      </c>
      <c r="L461" s="4">
        <v>7.0000000000000007E-2</v>
      </c>
      <c r="M461" s="3">
        <v>4317.21</v>
      </c>
      <c r="N461" s="3">
        <v>535.15</v>
      </c>
    </row>
    <row r="462" spans="1:14" x14ac:dyDescent="0.45">
      <c r="A462" s="1" t="s">
        <v>528</v>
      </c>
      <c r="B462" s="2">
        <v>45442</v>
      </c>
      <c r="C462" s="1" t="s">
        <v>14</v>
      </c>
      <c r="D462" s="1" t="s">
        <v>15</v>
      </c>
      <c r="E462" s="1" t="s">
        <v>104</v>
      </c>
      <c r="F462" s="1" t="s">
        <v>17</v>
      </c>
      <c r="G462" s="1" t="s">
        <v>57</v>
      </c>
      <c r="H462" s="1" t="s">
        <v>51</v>
      </c>
      <c r="I462" s="1" t="s">
        <v>35</v>
      </c>
      <c r="J462" s="1">
        <v>4</v>
      </c>
      <c r="K462" s="3">
        <v>90</v>
      </c>
      <c r="L462" s="4">
        <v>0.05</v>
      </c>
      <c r="M462" s="3">
        <v>341.99</v>
      </c>
      <c r="N462" s="3">
        <v>-4.41</v>
      </c>
    </row>
    <row r="463" spans="1:14" x14ac:dyDescent="0.45">
      <c r="A463" s="1" t="s">
        <v>529</v>
      </c>
      <c r="B463" s="2">
        <v>45442</v>
      </c>
      <c r="C463" s="1" t="s">
        <v>14</v>
      </c>
      <c r="D463" s="1" t="s">
        <v>22</v>
      </c>
      <c r="E463" s="1" t="s">
        <v>56</v>
      </c>
      <c r="F463" s="1" t="s">
        <v>24</v>
      </c>
      <c r="G463" s="1" t="s">
        <v>46</v>
      </c>
      <c r="H463" s="1" t="s">
        <v>26</v>
      </c>
      <c r="I463" s="1" t="s">
        <v>67</v>
      </c>
      <c r="J463" s="1">
        <v>2</v>
      </c>
      <c r="K463" s="3">
        <v>1327.5</v>
      </c>
      <c r="L463" s="4">
        <v>0</v>
      </c>
      <c r="M463" s="3">
        <v>2654.99</v>
      </c>
      <c r="N463" s="3">
        <v>358.17</v>
      </c>
    </row>
    <row r="464" spans="1:14" x14ac:dyDescent="0.45">
      <c r="A464" s="1" t="s">
        <v>530</v>
      </c>
      <c r="B464" s="2">
        <v>45433</v>
      </c>
      <c r="C464" s="1" t="s">
        <v>29</v>
      </c>
      <c r="D464" s="1" t="s">
        <v>44</v>
      </c>
      <c r="E464" s="1" t="s">
        <v>106</v>
      </c>
      <c r="F464" s="1" t="s">
        <v>24</v>
      </c>
      <c r="G464" s="1" t="s">
        <v>25</v>
      </c>
      <c r="H464" s="1" t="s">
        <v>26</v>
      </c>
      <c r="I464" s="1" t="s">
        <v>39</v>
      </c>
      <c r="J464" s="1">
        <v>13</v>
      </c>
      <c r="K464" s="3">
        <v>34.340000000000003</v>
      </c>
      <c r="L464" s="4">
        <v>0.03</v>
      </c>
      <c r="M464" s="3">
        <v>433.01</v>
      </c>
      <c r="N464" s="3">
        <v>65.709999999999994</v>
      </c>
    </row>
    <row r="465" spans="1:14" x14ac:dyDescent="0.45">
      <c r="A465" s="1" t="s">
        <v>531</v>
      </c>
      <c r="B465" s="2">
        <v>45441</v>
      </c>
      <c r="C465" s="1" t="s">
        <v>48</v>
      </c>
      <c r="D465" s="1" t="s">
        <v>91</v>
      </c>
      <c r="E465" s="1" t="s">
        <v>69</v>
      </c>
      <c r="F465" s="1" t="s">
        <v>17</v>
      </c>
      <c r="G465" s="1" t="s">
        <v>50</v>
      </c>
      <c r="H465" s="1" t="s">
        <v>51</v>
      </c>
      <c r="I465" s="1" t="s">
        <v>67</v>
      </c>
      <c r="J465" s="1">
        <v>3</v>
      </c>
      <c r="K465" s="3">
        <v>610.13</v>
      </c>
      <c r="L465" s="4">
        <v>0.03</v>
      </c>
      <c r="M465" s="3">
        <v>1775.49</v>
      </c>
      <c r="N465" s="3">
        <v>344.45</v>
      </c>
    </row>
    <row r="466" spans="1:14" x14ac:dyDescent="0.45">
      <c r="A466" s="1" t="s">
        <v>532</v>
      </c>
      <c r="B466" s="2">
        <v>45442</v>
      </c>
      <c r="C466" s="1" t="s">
        <v>48</v>
      </c>
      <c r="D466" s="1" t="s">
        <v>49</v>
      </c>
      <c r="E466" s="1" t="s">
        <v>23</v>
      </c>
      <c r="F466" s="1" t="s">
        <v>17</v>
      </c>
      <c r="G466" s="1" t="s">
        <v>66</v>
      </c>
      <c r="H466" s="1" t="s">
        <v>26</v>
      </c>
      <c r="I466" s="1" t="s">
        <v>39</v>
      </c>
      <c r="J466" s="1">
        <v>5</v>
      </c>
      <c r="K466" s="3">
        <v>377.68</v>
      </c>
      <c r="L466" s="4">
        <v>7.0000000000000007E-2</v>
      </c>
      <c r="M466" s="3">
        <v>1756.19</v>
      </c>
      <c r="N466" s="3">
        <v>384.18</v>
      </c>
    </row>
    <row r="467" spans="1:14" x14ac:dyDescent="0.45">
      <c r="A467" s="1" t="s">
        <v>533</v>
      </c>
      <c r="B467" s="2">
        <v>45429</v>
      </c>
      <c r="C467" s="1" t="s">
        <v>48</v>
      </c>
      <c r="D467" s="1" t="s">
        <v>91</v>
      </c>
      <c r="E467" s="1" t="s">
        <v>106</v>
      </c>
      <c r="F467" s="1" t="s">
        <v>24</v>
      </c>
      <c r="G467" s="1" t="s">
        <v>33</v>
      </c>
      <c r="H467" s="1" t="s">
        <v>34</v>
      </c>
      <c r="I467" s="1" t="s">
        <v>35</v>
      </c>
      <c r="J467" s="1">
        <v>4</v>
      </c>
      <c r="K467" s="3">
        <v>667.51</v>
      </c>
      <c r="L467" s="4">
        <v>0</v>
      </c>
      <c r="M467" s="3">
        <v>2670.05</v>
      </c>
      <c r="N467" s="3">
        <v>498.42</v>
      </c>
    </row>
    <row r="468" spans="1:14" x14ac:dyDescent="0.45">
      <c r="A468" s="1" t="s">
        <v>534</v>
      </c>
      <c r="B468" s="2">
        <v>45443</v>
      </c>
      <c r="C468" s="1" t="s">
        <v>14</v>
      </c>
      <c r="D468" s="1" t="s">
        <v>15</v>
      </c>
      <c r="E468" s="1" t="s">
        <v>73</v>
      </c>
      <c r="F468" s="1" t="s">
        <v>17</v>
      </c>
      <c r="G468" s="1" t="s">
        <v>57</v>
      </c>
      <c r="H468" s="1" t="s">
        <v>51</v>
      </c>
      <c r="I468" s="1" t="s">
        <v>67</v>
      </c>
      <c r="J468" s="1">
        <v>11</v>
      </c>
      <c r="K468" s="3">
        <v>90.95</v>
      </c>
      <c r="L468" s="4">
        <v>0.1</v>
      </c>
      <c r="M468" s="3">
        <v>900.42</v>
      </c>
      <c r="N468" s="3">
        <v>224.14</v>
      </c>
    </row>
    <row r="469" spans="1:14" x14ac:dyDescent="0.45">
      <c r="A469" s="1" t="s">
        <v>535</v>
      </c>
      <c r="B469" s="2">
        <v>45429</v>
      </c>
      <c r="C469" s="1" t="s">
        <v>14</v>
      </c>
      <c r="D469" s="1" t="s">
        <v>22</v>
      </c>
      <c r="E469" s="1" t="s">
        <v>45</v>
      </c>
      <c r="F469" s="1" t="s">
        <v>17</v>
      </c>
      <c r="G469" s="1" t="s">
        <v>33</v>
      </c>
      <c r="H469" s="1" t="s">
        <v>34</v>
      </c>
      <c r="I469" s="1" t="s">
        <v>20</v>
      </c>
      <c r="J469" s="1">
        <v>2</v>
      </c>
      <c r="K469" s="3">
        <v>1642.16</v>
      </c>
      <c r="L469" s="4">
        <v>0</v>
      </c>
      <c r="M469" s="3">
        <v>3284.32</v>
      </c>
      <c r="N469" s="3">
        <v>370.41</v>
      </c>
    </row>
    <row r="470" spans="1:14" x14ac:dyDescent="0.45">
      <c r="A470" s="1" t="s">
        <v>536</v>
      </c>
      <c r="B470" s="2">
        <v>45421</v>
      </c>
      <c r="C470" s="1" t="s">
        <v>48</v>
      </c>
      <c r="D470" s="1" t="s">
        <v>91</v>
      </c>
      <c r="E470" s="1" t="s">
        <v>104</v>
      </c>
      <c r="F470" s="1" t="s">
        <v>24</v>
      </c>
      <c r="G470" s="1" t="s">
        <v>50</v>
      </c>
      <c r="H470" s="1" t="s">
        <v>51</v>
      </c>
      <c r="I470" s="1" t="s">
        <v>67</v>
      </c>
      <c r="J470" s="1">
        <v>5</v>
      </c>
      <c r="K470" s="3">
        <v>568.55999999999995</v>
      </c>
      <c r="L470" s="4">
        <v>0</v>
      </c>
      <c r="M470" s="3">
        <v>2842.8</v>
      </c>
      <c r="N470" s="3">
        <v>576.73</v>
      </c>
    </row>
    <row r="471" spans="1:14" x14ac:dyDescent="0.45">
      <c r="A471" s="1" t="s">
        <v>537</v>
      </c>
      <c r="B471" s="2">
        <v>45414</v>
      </c>
      <c r="C471" s="1" t="s">
        <v>48</v>
      </c>
      <c r="D471" s="1" t="s">
        <v>91</v>
      </c>
      <c r="E471" s="1" t="s">
        <v>89</v>
      </c>
      <c r="F471" s="1" t="s">
        <v>24</v>
      </c>
      <c r="G471" s="1" t="s">
        <v>66</v>
      </c>
      <c r="H471" s="1" t="s">
        <v>26</v>
      </c>
      <c r="I471" s="1" t="s">
        <v>27</v>
      </c>
      <c r="J471" s="1">
        <v>6</v>
      </c>
      <c r="K471" s="3">
        <v>653.71</v>
      </c>
      <c r="L471" s="4">
        <v>0.05</v>
      </c>
      <c r="M471" s="3">
        <v>3726.17</v>
      </c>
      <c r="N471" s="3">
        <v>755.52</v>
      </c>
    </row>
    <row r="472" spans="1:14" x14ac:dyDescent="0.45">
      <c r="A472" s="1" t="s">
        <v>538</v>
      </c>
      <c r="B472" s="2">
        <v>45422</v>
      </c>
      <c r="C472" s="1" t="s">
        <v>48</v>
      </c>
      <c r="D472" s="1" t="s">
        <v>91</v>
      </c>
      <c r="E472" s="1" t="s">
        <v>38</v>
      </c>
      <c r="F472" s="1" t="s">
        <v>24</v>
      </c>
      <c r="G472" s="1" t="s">
        <v>50</v>
      </c>
      <c r="H472" s="1" t="s">
        <v>51</v>
      </c>
      <c r="I472" s="1" t="s">
        <v>27</v>
      </c>
      <c r="J472" s="1">
        <v>5</v>
      </c>
      <c r="K472" s="3">
        <v>570.99</v>
      </c>
      <c r="L472" s="4">
        <v>0</v>
      </c>
      <c r="M472" s="3">
        <v>2854.93</v>
      </c>
      <c r="N472" s="3">
        <v>667.44</v>
      </c>
    </row>
    <row r="473" spans="1:14" x14ac:dyDescent="0.45">
      <c r="A473" s="1" t="s">
        <v>539</v>
      </c>
      <c r="B473" s="2">
        <v>45418</v>
      </c>
      <c r="C473" s="1" t="s">
        <v>48</v>
      </c>
      <c r="D473" s="1" t="s">
        <v>91</v>
      </c>
      <c r="E473" s="1" t="s">
        <v>95</v>
      </c>
      <c r="F473" s="1" t="s">
        <v>24</v>
      </c>
      <c r="G473" s="1" t="s">
        <v>25</v>
      </c>
      <c r="H473" s="1" t="s">
        <v>26</v>
      </c>
      <c r="I473" s="1" t="s">
        <v>42</v>
      </c>
      <c r="J473" s="1">
        <v>4</v>
      </c>
      <c r="K473" s="3">
        <v>624.48</v>
      </c>
      <c r="L473" s="4">
        <v>0</v>
      </c>
      <c r="M473" s="3">
        <v>2497.91</v>
      </c>
      <c r="N473" s="3">
        <v>436.02</v>
      </c>
    </row>
    <row r="474" spans="1:14" x14ac:dyDescent="0.45">
      <c r="A474" s="1" t="s">
        <v>540</v>
      </c>
      <c r="B474" s="2">
        <v>45467</v>
      </c>
      <c r="C474" s="1" t="s">
        <v>48</v>
      </c>
      <c r="D474" s="1" t="s">
        <v>91</v>
      </c>
      <c r="E474" s="1" t="s">
        <v>63</v>
      </c>
      <c r="F474" s="1" t="s">
        <v>17</v>
      </c>
      <c r="G474" s="1" t="s">
        <v>61</v>
      </c>
      <c r="H474" s="1" t="s">
        <v>51</v>
      </c>
      <c r="I474" s="1" t="s">
        <v>20</v>
      </c>
      <c r="J474" s="1">
        <v>7</v>
      </c>
      <c r="K474" s="3">
        <v>649.27</v>
      </c>
      <c r="L474" s="4">
        <v>0.1</v>
      </c>
      <c r="M474" s="3">
        <v>4090.4</v>
      </c>
      <c r="N474" s="3">
        <v>572.87</v>
      </c>
    </row>
    <row r="475" spans="1:14" x14ac:dyDescent="0.45">
      <c r="A475" s="1" t="s">
        <v>541</v>
      </c>
      <c r="B475" s="2">
        <v>45454</v>
      </c>
      <c r="C475" s="1" t="s">
        <v>29</v>
      </c>
      <c r="D475" s="1" t="s">
        <v>44</v>
      </c>
      <c r="E475" s="1" t="s">
        <v>53</v>
      </c>
      <c r="F475" s="1" t="s">
        <v>32</v>
      </c>
      <c r="G475" s="1" t="s">
        <v>50</v>
      </c>
      <c r="H475" s="1" t="s">
        <v>51</v>
      </c>
      <c r="I475" s="1" t="s">
        <v>39</v>
      </c>
      <c r="J475" s="1">
        <v>15</v>
      </c>
      <c r="K475" s="3">
        <v>34.79</v>
      </c>
      <c r="L475" s="4">
        <v>0.03</v>
      </c>
      <c r="M475" s="3">
        <v>506.27</v>
      </c>
      <c r="N475" s="3">
        <v>65.510000000000005</v>
      </c>
    </row>
    <row r="476" spans="1:14" x14ac:dyDescent="0.45">
      <c r="A476" s="1" t="s">
        <v>542</v>
      </c>
      <c r="B476" s="2">
        <v>45469</v>
      </c>
      <c r="C476" s="1" t="s">
        <v>29</v>
      </c>
      <c r="D476" s="1" t="s">
        <v>37</v>
      </c>
      <c r="E476" s="1" t="s">
        <v>92</v>
      </c>
      <c r="F476" s="1" t="s">
        <v>32</v>
      </c>
      <c r="G476" s="1" t="s">
        <v>18</v>
      </c>
      <c r="H476" s="1" t="s">
        <v>19</v>
      </c>
      <c r="I476" s="1" t="s">
        <v>39</v>
      </c>
      <c r="J476" s="1">
        <v>14</v>
      </c>
      <c r="K476" s="3">
        <v>82.17</v>
      </c>
      <c r="L476" s="4">
        <v>0</v>
      </c>
      <c r="M476" s="3">
        <v>1150.3800000000001</v>
      </c>
      <c r="N476" s="3">
        <v>257.55</v>
      </c>
    </row>
    <row r="477" spans="1:14" x14ac:dyDescent="0.45">
      <c r="A477" s="1" t="s">
        <v>543</v>
      </c>
      <c r="B477" s="2">
        <v>45469</v>
      </c>
      <c r="C477" s="1" t="s">
        <v>14</v>
      </c>
      <c r="D477" s="1" t="s">
        <v>80</v>
      </c>
      <c r="E477" s="1" t="s">
        <v>65</v>
      </c>
      <c r="F477" s="1" t="s">
        <v>17</v>
      </c>
      <c r="G477" s="1" t="s">
        <v>54</v>
      </c>
      <c r="H477" s="1" t="s">
        <v>51</v>
      </c>
      <c r="I477" s="1" t="s">
        <v>20</v>
      </c>
      <c r="J477" s="1">
        <v>6</v>
      </c>
      <c r="K477" s="3">
        <v>440.96</v>
      </c>
      <c r="L477" s="4">
        <v>0.1</v>
      </c>
      <c r="M477" s="3">
        <v>2381.1999999999998</v>
      </c>
      <c r="N477" s="3">
        <v>474.15</v>
      </c>
    </row>
    <row r="478" spans="1:14" x14ac:dyDescent="0.45">
      <c r="A478" s="1" t="s">
        <v>544</v>
      </c>
      <c r="B478" s="2">
        <v>45455</v>
      </c>
      <c r="C478" s="1" t="s">
        <v>48</v>
      </c>
      <c r="D478" s="1" t="s">
        <v>78</v>
      </c>
      <c r="E478" s="1" t="s">
        <v>56</v>
      </c>
      <c r="F478" s="1" t="s">
        <v>17</v>
      </c>
      <c r="G478" s="1" t="s">
        <v>74</v>
      </c>
      <c r="H478" s="1" t="s">
        <v>26</v>
      </c>
      <c r="I478" s="1" t="s">
        <v>27</v>
      </c>
      <c r="J478" s="1">
        <v>8</v>
      </c>
      <c r="K478" s="3">
        <v>476.21</v>
      </c>
      <c r="L478" s="4">
        <v>0</v>
      </c>
      <c r="M478" s="3">
        <v>3809.66</v>
      </c>
      <c r="N478" s="3">
        <v>687.38</v>
      </c>
    </row>
    <row r="479" spans="1:14" x14ac:dyDescent="0.45">
      <c r="A479" s="1" t="s">
        <v>545</v>
      </c>
      <c r="B479" s="2">
        <v>45468</v>
      </c>
      <c r="C479" s="1" t="s">
        <v>14</v>
      </c>
      <c r="D479" s="1" t="s">
        <v>80</v>
      </c>
      <c r="E479" s="1" t="s">
        <v>41</v>
      </c>
      <c r="F479" s="1" t="s">
        <v>24</v>
      </c>
      <c r="G479" s="1" t="s">
        <v>18</v>
      </c>
      <c r="H479" s="1" t="s">
        <v>19</v>
      </c>
      <c r="I479" s="1" t="s">
        <v>39</v>
      </c>
      <c r="J479" s="1">
        <v>4</v>
      </c>
      <c r="K479" s="3">
        <v>413.23</v>
      </c>
      <c r="L479" s="4">
        <v>0.1</v>
      </c>
      <c r="M479" s="3">
        <v>1487.63</v>
      </c>
      <c r="N479" s="3">
        <v>230.75</v>
      </c>
    </row>
    <row r="480" spans="1:14" x14ac:dyDescent="0.45">
      <c r="A480" s="1" t="s">
        <v>546</v>
      </c>
      <c r="B480" s="2">
        <v>45460</v>
      </c>
      <c r="C480" s="1" t="s">
        <v>48</v>
      </c>
      <c r="D480" s="1" t="s">
        <v>78</v>
      </c>
      <c r="E480" s="1" t="s">
        <v>63</v>
      </c>
      <c r="F480" s="1" t="s">
        <v>24</v>
      </c>
      <c r="G480" s="1" t="s">
        <v>74</v>
      </c>
      <c r="H480" s="1" t="s">
        <v>26</v>
      </c>
      <c r="I480" s="1" t="s">
        <v>42</v>
      </c>
      <c r="J480" s="1">
        <v>5</v>
      </c>
      <c r="K480" s="3">
        <v>454.77</v>
      </c>
      <c r="L480" s="4">
        <v>7.0000000000000007E-2</v>
      </c>
      <c r="M480" s="3">
        <v>2114.67</v>
      </c>
      <c r="N480" s="3">
        <v>359.69</v>
      </c>
    </row>
    <row r="481" spans="1:14" x14ac:dyDescent="0.45">
      <c r="A481" s="1" t="s">
        <v>547</v>
      </c>
      <c r="B481" s="2">
        <v>45447</v>
      </c>
      <c r="C481" s="1" t="s">
        <v>29</v>
      </c>
      <c r="D481" s="1" t="s">
        <v>44</v>
      </c>
      <c r="E481" s="1" t="s">
        <v>63</v>
      </c>
      <c r="F481" s="1" t="s">
        <v>17</v>
      </c>
      <c r="G481" s="1" t="s">
        <v>61</v>
      </c>
      <c r="H481" s="1" t="s">
        <v>51</v>
      </c>
      <c r="I481" s="1" t="s">
        <v>42</v>
      </c>
      <c r="J481" s="1">
        <v>2</v>
      </c>
      <c r="K481" s="3">
        <v>35.590000000000003</v>
      </c>
      <c r="L481" s="4">
        <v>0.1</v>
      </c>
      <c r="M481" s="3">
        <v>64.06</v>
      </c>
      <c r="N481" s="3">
        <v>-13.42</v>
      </c>
    </row>
    <row r="482" spans="1:14" x14ac:dyDescent="0.45">
      <c r="A482" s="1" t="s">
        <v>548</v>
      </c>
      <c r="B482" s="2">
        <v>45467</v>
      </c>
      <c r="C482" s="1" t="s">
        <v>29</v>
      </c>
      <c r="D482" s="1" t="s">
        <v>37</v>
      </c>
      <c r="E482" s="1" t="s">
        <v>56</v>
      </c>
      <c r="F482" s="1" t="s">
        <v>32</v>
      </c>
      <c r="G482" s="1" t="s">
        <v>74</v>
      </c>
      <c r="H482" s="1" t="s">
        <v>26</v>
      </c>
      <c r="I482" s="1" t="s">
        <v>67</v>
      </c>
      <c r="J482" s="1">
        <v>9</v>
      </c>
      <c r="K482" s="3">
        <v>80.680000000000007</v>
      </c>
      <c r="L482" s="4">
        <v>0.1</v>
      </c>
      <c r="M482" s="3">
        <v>653.51</v>
      </c>
      <c r="N482" s="3">
        <v>124.48</v>
      </c>
    </row>
    <row r="483" spans="1:14" x14ac:dyDescent="0.45">
      <c r="A483" s="1" t="s">
        <v>549</v>
      </c>
      <c r="B483" s="2">
        <v>45471</v>
      </c>
      <c r="C483" s="1" t="s">
        <v>48</v>
      </c>
      <c r="D483" s="1" t="s">
        <v>78</v>
      </c>
      <c r="E483" s="1" t="s">
        <v>41</v>
      </c>
      <c r="F483" s="1" t="s">
        <v>17</v>
      </c>
      <c r="G483" s="1" t="s">
        <v>50</v>
      </c>
      <c r="H483" s="1" t="s">
        <v>51</v>
      </c>
      <c r="I483" s="1" t="s">
        <v>39</v>
      </c>
      <c r="J483" s="1">
        <v>5</v>
      </c>
      <c r="K483" s="3">
        <v>531.53</v>
      </c>
      <c r="L483" s="4">
        <v>0</v>
      </c>
      <c r="M483" s="3">
        <v>2657.66</v>
      </c>
      <c r="N483" s="3">
        <v>502.08</v>
      </c>
    </row>
    <row r="484" spans="1:14" x14ac:dyDescent="0.45">
      <c r="A484" s="1" t="s">
        <v>550</v>
      </c>
      <c r="B484" s="2">
        <v>45470</v>
      </c>
      <c r="C484" s="1" t="s">
        <v>48</v>
      </c>
      <c r="D484" s="1" t="s">
        <v>49</v>
      </c>
      <c r="E484" s="1" t="s">
        <v>60</v>
      </c>
      <c r="F484" s="1" t="s">
        <v>32</v>
      </c>
      <c r="G484" s="1" t="s">
        <v>50</v>
      </c>
      <c r="H484" s="1" t="s">
        <v>51</v>
      </c>
      <c r="I484" s="1" t="s">
        <v>27</v>
      </c>
      <c r="J484" s="1">
        <v>7</v>
      </c>
      <c r="K484" s="3">
        <v>344.88</v>
      </c>
      <c r="L484" s="4">
        <v>0.1</v>
      </c>
      <c r="M484" s="3">
        <v>2172.7199999999998</v>
      </c>
      <c r="N484" s="3">
        <v>419.53</v>
      </c>
    </row>
    <row r="485" spans="1:14" x14ac:dyDescent="0.45">
      <c r="A485" s="1" t="s">
        <v>551</v>
      </c>
      <c r="B485" s="2">
        <v>45471</v>
      </c>
      <c r="C485" s="1" t="s">
        <v>14</v>
      </c>
      <c r="D485" s="1" t="s">
        <v>80</v>
      </c>
      <c r="E485" s="1" t="s">
        <v>87</v>
      </c>
      <c r="F485" s="1" t="s">
        <v>17</v>
      </c>
      <c r="G485" s="1" t="s">
        <v>61</v>
      </c>
      <c r="H485" s="1" t="s">
        <v>51</v>
      </c>
      <c r="I485" s="1" t="s">
        <v>67</v>
      </c>
      <c r="J485" s="1">
        <v>4</v>
      </c>
      <c r="K485" s="3">
        <v>409.09</v>
      </c>
      <c r="L485" s="4">
        <v>0.03</v>
      </c>
      <c r="M485" s="3">
        <v>1587.28</v>
      </c>
      <c r="N485" s="3">
        <v>334.48</v>
      </c>
    </row>
    <row r="486" spans="1:14" x14ac:dyDescent="0.45">
      <c r="A486" s="1" t="s">
        <v>552</v>
      </c>
      <c r="B486" s="2">
        <v>45453</v>
      </c>
      <c r="C486" s="1" t="s">
        <v>14</v>
      </c>
      <c r="D486" s="1" t="s">
        <v>22</v>
      </c>
      <c r="E486" s="1" t="s">
        <v>31</v>
      </c>
      <c r="F486" s="1" t="s">
        <v>32</v>
      </c>
      <c r="G486" s="1" t="s">
        <v>61</v>
      </c>
      <c r="H486" s="1" t="s">
        <v>51</v>
      </c>
      <c r="I486" s="1" t="s">
        <v>35</v>
      </c>
      <c r="J486" s="1">
        <v>4</v>
      </c>
      <c r="K486" s="3">
        <v>1520.97</v>
      </c>
      <c r="L486" s="4">
        <v>7.0000000000000007E-2</v>
      </c>
      <c r="M486" s="3">
        <v>5658.02</v>
      </c>
      <c r="N486" s="3">
        <v>1012.36</v>
      </c>
    </row>
    <row r="487" spans="1:14" x14ac:dyDescent="0.45">
      <c r="A487" s="1" t="s">
        <v>553</v>
      </c>
      <c r="B487" s="2">
        <v>45448</v>
      </c>
      <c r="C487" s="1" t="s">
        <v>29</v>
      </c>
      <c r="D487" s="1" t="s">
        <v>37</v>
      </c>
      <c r="E487" s="1" t="s">
        <v>104</v>
      </c>
      <c r="F487" s="1" t="s">
        <v>17</v>
      </c>
      <c r="G487" s="1" t="s">
        <v>57</v>
      </c>
      <c r="H487" s="1" t="s">
        <v>51</v>
      </c>
      <c r="I487" s="1" t="s">
        <v>39</v>
      </c>
      <c r="J487" s="1">
        <v>3</v>
      </c>
      <c r="K487" s="3">
        <v>88.8</v>
      </c>
      <c r="L487" s="4">
        <v>0</v>
      </c>
      <c r="M487" s="3">
        <v>266.41000000000003</v>
      </c>
      <c r="N487" s="3">
        <v>21.39</v>
      </c>
    </row>
    <row r="488" spans="1:14" x14ac:dyDescent="0.45">
      <c r="A488" s="1" t="s">
        <v>554</v>
      </c>
      <c r="B488" s="2">
        <v>45468</v>
      </c>
      <c r="C488" s="1" t="s">
        <v>14</v>
      </c>
      <c r="D488" s="1" t="s">
        <v>15</v>
      </c>
      <c r="E488" s="1" t="s">
        <v>16</v>
      </c>
      <c r="F488" s="1" t="s">
        <v>24</v>
      </c>
      <c r="G488" s="1" t="s">
        <v>54</v>
      </c>
      <c r="H488" s="1" t="s">
        <v>51</v>
      </c>
      <c r="I488" s="1" t="s">
        <v>20</v>
      </c>
      <c r="J488" s="1">
        <v>11</v>
      </c>
      <c r="K488" s="3">
        <v>110.11</v>
      </c>
      <c r="L488" s="4">
        <v>0.1</v>
      </c>
      <c r="M488" s="3">
        <v>1090.0899999999999</v>
      </c>
      <c r="N488" s="3">
        <v>302.24</v>
      </c>
    </row>
    <row r="489" spans="1:14" x14ac:dyDescent="0.45">
      <c r="A489" s="1" t="s">
        <v>555</v>
      </c>
      <c r="B489" s="2">
        <v>45446</v>
      </c>
      <c r="C489" s="1" t="s">
        <v>14</v>
      </c>
      <c r="D489" s="1" t="s">
        <v>80</v>
      </c>
      <c r="E489" s="1" t="s">
        <v>73</v>
      </c>
      <c r="F489" s="1" t="s">
        <v>17</v>
      </c>
      <c r="G489" s="1" t="s">
        <v>25</v>
      </c>
      <c r="H489" s="1" t="s">
        <v>26</v>
      </c>
      <c r="I489" s="1" t="s">
        <v>20</v>
      </c>
      <c r="J489" s="1">
        <v>5</v>
      </c>
      <c r="K489" s="3">
        <v>415.03</v>
      </c>
      <c r="L489" s="4">
        <v>7.0000000000000007E-2</v>
      </c>
      <c r="M489" s="3">
        <v>1929.88</v>
      </c>
      <c r="N489" s="3">
        <v>432.9</v>
      </c>
    </row>
    <row r="490" spans="1:14" x14ac:dyDescent="0.45">
      <c r="A490" s="1" t="s">
        <v>556</v>
      </c>
      <c r="B490" s="2">
        <v>45446</v>
      </c>
      <c r="C490" s="1" t="s">
        <v>29</v>
      </c>
      <c r="D490" s="1" t="s">
        <v>37</v>
      </c>
      <c r="E490" s="1" t="s">
        <v>38</v>
      </c>
      <c r="F490" s="1" t="s">
        <v>32</v>
      </c>
      <c r="G490" s="1" t="s">
        <v>50</v>
      </c>
      <c r="H490" s="1" t="s">
        <v>51</v>
      </c>
      <c r="I490" s="1" t="s">
        <v>20</v>
      </c>
      <c r="J490" s="1">
        <v>3</v>
      </c>
      <c r="K490" s="3">
        <v>86.5</v>
      </c>
      <c r="L490" s="4">
        <v>0.1</v>
      </c>
      <c r="M490" s="3">
        <v>233.55</v>
      </c>
      <c r="N490" s="3">
        <v>40.04</v>
      </c>
    </row>
    <row r="491" spans="1:14" x14ac:dyDescent="0.45">
      <c r="A491" s="1" t="s">
        <v>557</v>
      </c>
      <c r="B491" s="2">
        <v>45497</v>
      </c>
      <c r="C491" s="1" t="s">
        <v>29</v>
      </c>
      <c r="D491" s="1" t="s">
        <v>37</v>
      </c>
      <c r="E491" s="1" t="s">
        <v>92</v>
      </c>
      <c r="F491" s="1" t="s">
        <v>17</v>
      </c>
      <c r="G491" s="1" t="s">
        <v>18</v>
      </c>
      <c r="H491" s="1" t="s">
        <v>19</v>
      </c>
      <c r="I491" s="1" t="s">
        <v>27</v>
      </c>
      <c r="J491" s="1">
        <v>11</v>
      </c>
      <c r="K491" s="3">
        <v>90.13</v>
      </c>
      <c r="L491" s="4">
        <v>0.1</v>
      </c>
      <c r="M491" s="3">
        <v>892.31</v>
      </c>
      <c r="N491" s="3">
        <v>123.74</v>
      </c>
    </row>
    <row r="492" spans="1:14" x14ac:dyDescent="0.45">
      <c r="A492" s="1" t="s">
        <v>558</v>
      </c>
      <c r="B492" s="2">
        <v>45474</v>
      </c>
      <c r="C492" s="1" t="s">
        <v>48</v>
      </c>
      <c r="D492" s="1" t="s">
        <v>49</v>
      </c>
      <c r="E492" s="1" t="s">
        <v>69</v>
      </c>
      <c r="F492" s="1" t="s">
        <v>24</v>
      </c>
      <c r="G492" s="1" t="s">
        <v>46</v>
      </c>
      <c r="H492" s="1" t="s">
        <v>26</v>
      </c>
      <c r="I492" s="1" t="s">
        <v>67</v>
      </c>
      <c r="J492" s="1">
        <v>2</v>
      </c>
      <c r="K492" s="3">
        <v>307.69</v>
      </c>
      <c r="L492" s="4">
        <v>7.0000000000000007E-2</v>
      </c>
      <c r="M492" s="3">
        <v>572.29999999999995</v>
      </c>
      <c r="N492" s="3">
        <v>74.78</v>
      </c>
    </row>
    <row r="493" spans="1:14" x14ac:dyDescent="0.45">
      <c r="A493" s="1" t="s">
        <v>559</v>
      </c>
      <c r="B493" s="2">
        <v>45503</v>
      </c>
      <c r="C493" s="1" t="s">
        <v>14</v>
      </c>
      <c r="D493" s="1" t="s">
        <v>22</v>
      </c>
      <c r="E493" s="1" t="s">
        <v>65</v>
      </c>
      <c r="F493" s="1" t="s">
        <v>32</v>
      </c>
      <c r="G493" s="1" t="s">
        <v>50</v>
      </c>
      <c r="H493" s="1" t="s">
        <v>51</v>
      </c>
      <c r="I493" s="1" t="s">
        <v>39</v>
      </c>
      <c r="J493" s="1">
        <v>7</v>
      </c>
      <c r="K493" s="3">
        <v>1492.6</v>
      </c>
      <c r="L493" s="4">
        <v>0</v>
      </c>
      <c r="M493" s="3">
        <v>10448.219999999999</v>
      </c>
      <c r="N493" s="3">
        <v>1723.37</v>
      </c>
    </row>
    <row r="494" spans="1:14" x14ac:dyDescent="0.45">
      <c r="A494" s="1" t="s">
        <v>560</v>
      </c>
      <c r="B494" s="2">
        <v>45484</v>
      </c>
      <c r="C494" s="1" t="s">
        <v>29</v>
      </c>
      <c r="D494" s="1" t="s">
        <v>30</v>
      </c>
      <c r="E494" s="1" t="s">
        <v>81</v>
      </c>
      <c r="F494" s="1" t="s">
        <v>17</v>
      </c>
      <c r="G494" s="1" t="s">
        <v>50</v>
      </c>
      <c r="H494" s="1" t="s">
        <v>51</v>
      </c>
      <c r="I494" s="1" t="s">
        <v>42</v>
      </c>
      <c r="J494" s="1">
        <v>10</v>
      </c>
      <c r="K494" s="3">
        <v>54.7</v>
      </c>
      <c r="L494" s="4">
        <v>0</v>
      </c>
      <c r="M494" s="3">
        <v>547.01</v>
      </c>
      <c r="N494" s="3">
        <v>54.67</v>
      </c>
    </row>
    <row r="495" spans="1:14" x14ac:dyDescent="0.45">
      <c r="A495" s="1" t="s">
        <v>561</v>
      </c>
      <c r="B495" s="2">
        <v>45484</v>
      </c>
      <c r="C495" s="1" t="s">
        <v>14</v>
      </c>
      <c r="D495" s="1" t="s">
        <v>80</v>
      </c>
      <c r="E495" s="1" t="s">
        <v>56</v>
      </c>
      <c r="F495" s="1" t="s">
        <v>17</v>
      </c>
      <c r="G495" s="1" t="s">
        <v>61</v>
      </c>
      <c r="H495" s="1" t="s">
        <v>51</v>
      </c>
      <c r="I495" s="1" t="s">
        <v>42</v>
      </c>
      <c r="J495" s="1">
        <v>7</v>
      </c>
      <c r="K495" s="3">
        <v>413.31</v>
      </c>
      <c r="L495" s="4">
        <v>0.1</v>
      </c>
      <c r="M495" s="3">
        <v>2603.85</v>
      </c>
      <c r="N495" s="3">
        <v>515.28</v>
      </c>
    </row>
    <row r="496" spans="1:14" x14ac:dyDescent="0.45">
      <c r="A496" s="1" t="s">
        <v>562</v>
      </c>
      <c r="B496" s="2">
        <v>45498</v>
      </c>
      <c r="C496" s="1" t="s">
        <v>29</v>
      </c>
      <c r="D496" s="1" t="s">
        <v>30</v>
      </c>
      <c r="E496" s="1" t="s">
        <v>56</v>
      </c>
      <c r="F496" s="1" t="s">
        <v>32</v>
      </c>
      <c r="G496" s="1" t="s">
        <v>74</v>
      </c>
      <c r="H496" s="1" t="s">
        <v>26</v>
      </c>
      <c r="I496" s="1" t="s">
        <v>35</v>
      </c>
      <c r="J496" s="1">
        <v>12</v>
      </c>
      <c r="K496" s="3">
        <v>49.05</v>
      </c>
      <c r="L496" s="4">
        <v>0</v>
      </c>
      <c r="M496" s="3">
        <v>588.63</v>
      </c>
      <c r="N496" s="3">
        <v>64.66</v>
      </c>
    </row>
    <row r="497" spans="1:14" x14ac:dyDescent="0.45">
      <c r="A497" s="1" t="s">
        <v>563</v>
      </c>
      <c r="B497" s="2">
        <v>45482</v>
      </c>
      <c r="C497" s="1" t="s">
        <v>48</v>
      </c>
      <c r="D497" s="1" t="s">
        <v>49</v>
      </c>
      <c r="E497" s="1" t="s">
        <v>65</v>
      </c>
      <c r="F497" s="1" t="s">
        <v>24</v>
      </c>
      <c r="G497" s="1" t="s">
        <v>33</v>
      </c>
      <c r="H497" s="1" t="s">
        <v>34</v>
      </c>
      <c r="I497" s="1" t="s">
        <v>42</v>
      </c>
      <c r="J497" s="1">
        <v>3</v>
      </c>
      <c r="K497" s="3">
        <v>374.38</v>
      </c>
      <c r="L497" s="4">
        <v>0</v>
      </c>
      <c r="M497" s="3">
        <v>1123.1500000000001</v>
      </c>
      <c r="N497" s="3">
        <v>201.01</v>
      </c>
    </row>
    <row r="498" spans="1:14" x14ac:dyDescent="0.45">
      <c r="A498" s="1" t="s">
        <v>564</v>
      </c>
      <c r="B498" s="2">
        <v>45492</v>
      </c>
      <c r="C498" s="1" t="s">
        <v>29</v>
      </c>
      <c r="D498" s="1" t="s">
        <v>30</v>
      </c>
      <c r="E498" s="1" t="s">
        <v>73</v>
      </c>
      <c r="F498" s="1" t="s">
        <v>24</v>
      </c>
      <c r="G498" s="1" t="s">
        <v>50</v>
      </c>
      <c r="H498" s="1" t="s">
        <v>51</v>
      </c>
      <c r="I498" s="1" t="s">
        <v>27</v>
      </c>
      <c r="J498" s="1">
        <v>7</v>
      </c>
      <c r="K498" s="3">
        <v>50.66</v>
      </c>
      <c r="L498" s="4">
        <v>0</v>
      </c>
      <c r="M498" s="3">
        <v>354.61</v>
      </c>
      <c r="N498" s="3">
        <v>17.489999999999998</v>
      </c>
    </row>
    <row r="499" spans="1:14" x14ac:dyDescent="0.45">
      <c r="A499" s="1" t="s">
        <v>565</v>
      </c>
      <c r="B499" s="2">
        <v>45485</v>
      </c>
      <c r="C499" s="1" t="s">
        <v>29</v>
      </c>
      <c r="D499" s="1" t="s">
        <v>44</v>
      </c>
      <c r="E499" s="1" t="s">
        <v>81</v>
      </c>
      <c r="F499" s="1" t="s">
        <v>17</v>
      </c>
      <c r="G499" s="1" t="s">
        <v>57</v>
      </c>
      <c r="H499" s="1" t="s">
        <v>51</v>
      </c>
      <c r="I499" s="1" t="s">
        <v>20</v>
      </c>
      <c r="J499" s="1">
        <v>5</v>
      </c>
      <c r="K499" s="3">
        <v>28.86</v>
      </c>
      <c r="L499" s="4">
        <v>0</v>
      </c>
      <c r="M499" s="3">
        <v>144.32</v>
      </c>
      <c r="N499" s="3">
        <v>-9.0500000000000007</v>
      </c>
    </row>
    <row r="500" spans="1:14" x14ac:dyDescent="0.45">
      <c r="A500" s="1" t="s">
        <v>566</v>
      </c>
      <c r="B500" s="2">
        <v>45481</v>
      </c>
      <c r="C500" s="1" t="s">
        <v>48</v>
      </c>
      <c r="D500" s="1" t="s">
        <v>78</v>
      </c>
      <c r="E500" s="1" t="s">
        <v>16</v>
      </c>
      <c r="F500" s="1" t="s">
        <v>24</v>
      </c>
      <c r="G500" s="1" t="s">
        <v>74</v>
      </c>
      <c r="H500" s="1" t="s">
        <v>26</v>
      </c>
      <c r="I500" s="1" t="s">
        <v>20</v>
      </c>
      <c r="J500" s="1">
        <v>4</v>
      </c>
      <c r="K500" s="3">
        <v>484.31</v>
      </c>
      <c r="L500" s="4">
        <v>0.03</v>
      </c>
      <c r="M500" s="3">
        <v>1879.11</v>
      </c>
      <c r="N500" s="3">
        <v>255.79</v>
      </c>
    </row>
    <row r="501" spans="1:14" x14ac:dyDescent="0.45">
      <c r="A501" s="1" t="s">
        <v>567</v>
      </c>
      <c r="B501" s="2">
        <v>45474</v>
      </c>
      <c r="C501" s="1" t="s">
        <v>48</v>
      </c>
      <c r="D501" s="1" t="s">
        <v>78</v>
      </c>
      <c r="E501" s="1" t="s">
        <v>92</v>
      </c>
      <c r="F501" s="1" t="s">
        <v>17</v>
      </c>
      <c r="G501" s="1" t="s">
        <v>57</v>
      </c>
      <c r="H501" s="1" t="s">
        <v>51</v>
      </c>
      <c r="I501" s="1" t="s">
        <v>39</v>
      </c>
      <c r="J501" s="1">
        <v>8</v>
      </c>
      <c r="K501" s="3">
        <v>465.44</v>
      </c>
      <c r="L501" s="4">
        <v>0</v>
      </c>
      <c r="M501" s="3">
        <v>3723.48</v>
      </c>
      <c r="N501" s="3">
        <v>743.52</v>
      </c>
    </row>
    <row r="502" spans="1:14" x14ac:dyDescent="0.45">
      <c r="A502" s="1" t="s">
        <v>568</v>
      </c>
      <c r="B502" s="2">
        <v>45489</v>
      </c>
      <c r="C502" s="1" t="s">
        <v>29</v>
      </c>
      <c r="D502" s="1" t="s">
        <v>44</v>
      </c>
      <c r="E502" s="1" t="s">
        <v>95</v>
      </c>
      <c r="F502" s="1" t="s">
        <v>17</v>
      </c>
      <c r="G502" s="1" t="s">
        <v>25</v>
      </c>
      <c r="H502" s="1" t="s">
        <v>26</v>
      </c>
      <c r="I502" s="1" t="s">
        <v>27</v>
      </c>
      <c r="J502" s="1">
        <v>7</v>
      </c>
      <c r="K502" s="3">
        <v>34.93</v>
      </c>
      <c r="L502" s="4">
        <v>0.05</v>
      </c>
      <c r="M502" s="3">
        <v>232.3</v>
      </c>
      <c r="N502" s="3">
        <v>18.48</v>
      </c>
    </row>
    <row r="503" spans="1:14" x14ac:dyDescent="0.45">
      <c r="A503" s="1" t="s">
        <v>569</v>
      </c>
      <c r="B503" s="2">
        <v>45502</v>
      </c>
      <c r="C503" s="1" t="s">
        <v>29</v>
      </c>
      <c r="D503" s="1" t="s">
        <v>30</v>
      </c>
      <c r="E503" s="1" t="s">
        <v>60</v>
      </c>
      <c r="F503" s="1" t="s">
        <v>17</v>
      </c>
      <c r="G503" s="1" t="s">
        <v>61</v>
      </c>
      <c r="H503" s="1" t="s">
        <v>51</v>
      </c>
      <c r="I503" s="1" t="s">
        <v>67</v>
      </c>
      <c r="J503" s="1">
        <v>14</v>
      </c>
      <c r="K503" s="3">
        <v>56.21</v>
      </c>
      <c r="L503" s="4">
        <v>0.05</v>
      </c>
      <c r="M503" s="3">
        <v>747.6</v>
      </c>
      <c r="N503" s="3">
        <v>83.73</v>
      </c>
    </row>
    <row r="504" spans="1:14" x14ac:dyDescent="0.45">
      <c r="A504" s="1" t="s">
        <v>570</v>
      </c>
      <c r="B504" s="2">
        <v>45498</v>
      </c>
      <c r="C504" s="1" t="s">
        <v>48</v>
      </c>
      <c r="D504" s="1" t="s">
        <v>78</v>
      </c>
      <c r="E504" s="1" t="s">
        <v>23</v>
      </c>
      <c r="F504" s="1" t="s">
        <v>17</v>
      </c>
      <c r="G504" s="1" t="s">
        <v>54</v>
      </c>
      <c r="H504" s="1" t="s">
        <v>51</v>
      </c>
      <c r="I504" s="1" t="s">
        <v>39</v>
      </c>
      <c r="J504" s="1">
        <v>8</v>
      </c>
      <c r="K504" s="3">
        <v>606.52</v>
      </c>
      <c r="L504" s="4">
        <v>0</v>
      </c>
      <c r="M504" s="3">
        <v>4852.1899999999996</v>
      </c>
      <c r="N504" s="3">
        <v>1251.98</v>
      </c>
    </row>
    <row r="505" spans="1:14" x14ac:dyDescent="0.45">
      <c r="A505" s="1" t="s">
        <v>571</v>
      </c>
      <c r="B505" s="2">
        <v>45488</v>
      </c>
      <c r="C505" s="1" t="s">
        <v>29</v>
      </c>
      <c r="D505" s="1" t="s">
        <v>37</v>
      </c>
      <c r="E505" s="1" t="s">
        <v>73</v>
      </c>
      <c r="F505" s="1" t="s">
        <v>32</v>
      </c>
      <c r="G505" s="1" t="s">
        <v>54</v>
      </c>
      <c r="H505" s="1" t="s">
        <v>51</v>
      </c>
      <c r="I505" s="1" t="s">
        <v>67</v>
      </c>
      <c r="J505" s="1">
        <v>3</v>
      </c>
      <c r="K505" s="3">
        <v>96.85</v>
      </c>
      <c r="L505" s="4">
        <v>0.05</v>
      </c>
      <c r="M505" s="3">
        <v>276.02999999999997</v>
      </c>
      <c r="N505" s="3">
        <v>31.59</v>
      </c>
    </row>
    <row r="506" spans="1:14" x14ac:dyDescent="0.45">
      <c r="A506" s="1" t="s">
        <v>572</v>
      </c>
      <c r="B506" s="2">
        <v>45510</v>
      </c>
      <c r="C506" s="1" t="s">
        <v>14</v>
      </c>
      <c r="D506" s="1" t="s">
        <v>80</v>
      </c>
      <c r="E506" s="1" t="s">
        <v>104</v>
      </c>
      <c r="F506" s="1" t="s">
        <v>17</v>
      </c>
      <c r="G506" s="1" t="s">
        <v>18</v>
      </c>
      <c r="H506" s="1" t="s">
        <v>19</v>
      </c>
      <c r="I506" s="1" t="s">
        <v>42</v>
      </c>
      <c r="J506" s="1">
        <v>3</v>
      </c>
      <c r="K506" s="3">
        <v>402</v>
      </c>
      <c r="L506" s="4">
        <v>0.1</v>
      </c>
      <c r="M506" s="3">
        <v>1085.4100000000001</v>
      </c>
      <c r="N506" s="3">
        <v>131.38999999999999</v>
      </c>
    </row>
    <row r="507" spans="1:14" x14ac:dyDescent="0.45">
      <c r="A507" s="1" t="s">
        <v>573</v>
      </c>
      <c r="B507" s="2">
        <v>45513</v>
      </c>
      <c r="C507" s="1" t="s">
        <v>14</v>
      </c>
      <c r="D507" s="1" t="s">
        <v>15</v>
      </c>
      <c r="E507" s="1" t="s">
        <v>56</v>
      </c>
      <c r="F507" s="1" t="s">
        <v>32</v>
      </c>
      <c r="G507" s="1" t="s">
        <v>50</v>
      </c>
      <c r="H507" s="1" t="s">
        <v>51</v>
      </c>
      <c r="I507" s="1" t="s">
        <v>39</v>
      </c>
      <c r="J507" s="1">
        <v>12</v>
      </c>
      <c r="K507" s="3">
        <v>101.33</v>
      </c>
      <c r="L507" s="4">
        <v>0</v>
      </c>
      <c r="M507" s="3">
        <v>1215.92</v>
      </c>
      <c r="N507" s="3">
        <v>237.68</v>
      </c>
    </row>
    <row r="508" spans="1:14" x14ac:dyDescent="0.45">
      <c r="A508" s="1" t="s">
        <v>574</v>
      </c>
      <c r="B508" s="2">
        <v>45533</v>
      </c>
      <c r="C508" s="1" t="s">
        <v>29</v>
      </c>
      <c r="D508" s="1" t="s">
        <v>30</v>
      </c>
      <c r="E508" s="1" t="s">
        <v>53</v>
      </c>
      <c r="F508" s="1" t="s">
        <v>24</v>
      </c>
      <c r="G508" s="1" t="s">
        <v>18</v>
      </c>
      <c r="H508" s="1" t="s">
        <v>19</v>
      </c>
      <c r="I508" s="1" t="s">
        <v>42</v>
      </c>
      <c r="J508" s="1">
        <v>7</v>
      </c>
      <c r="K508" s="3">
        <v>55.1</v>
      </c>
      <c r="L508" s="4">
        <v>0</v>
      </c>
      <c r="M508" s="3">
        <v>385.67</v>
      </c>
      <c r="N508" s="3">
        <v>4.13</v>
      </c>
    </row>
    <row r="509" spans="1:14" x14ac:dyDescent="0.45">
      <c r="A509" s="1" t="s">
        <v>575</v>
      </c>
      <c r="B509" s="2">
        <v>45519</v>
      </c>
      <c r="C509" s="1" t="s">
        <v>29</v>
      </c>
      <c r="D509" s="1" t="s">
        <v>30</v>
      </c>
      <c r="E509" s="1" t="s">
        <v>60</v>
      </c>
      <c r="F509" s="1" t="s">
        <v>24</v>
      </c>
      <c r="G509" s="1" t="s">
        <v>50</v>
      </c>
      <c r="H509" s="1" t="s">
        <v>51</v>
      </c>
      <c r="I509" s="1" t="s">
        <v>67</v>
      </c>
      <c r="J509" s="1">
        <v>7</v>
      </c>
      <c r="K509" s="3">
        <v>53.1</v>
      </c>
      <c r="L509" s="4">
        <v>0.05</v>
      </c>
      <c r="M509" s="3">
        <v>353.13</v>
      </c>
      <c r="N509" s="3">
        <v>25.23</v>
      </c>
    </row>
    <row r="510" spans="1:14" x14ac:dyDescent="0.45">
      <c r="A510" s="1" t="s">
        <v>576</v>
      </c>
      <c r="B510" s="2">
        <v>45518</v>
      </c>
      <c r="C510" s="1" t="s">
        <v>48</v>
      </c>
      <c r="D510" s="1" t="s">
        <v>78</v>
      </c>
      <c r="E510" s="1" t="s">
        <v>45</v>
      </c>
      <c r="F510" s="1" t="s">
        <v>17</v>
      </c>
      <c r="G510" s="1" t="s">
        <v>33</v>
      </c>
      <c r="H510" s="1" t="s">
        <v>34</v>
      </c>
      <c r="I510" s="1" t="s">
        <v>20</v>
      </c>
      <c r="J510" s="1">
        <v>1</v>
      </c>
      <c r="K510" s="3">
        <v>576.04</v>
      </c>
      <c r="L510" s="4">
        <v>0.03</v>
      </c>
      <c r="M510" s="3">
        <v>558.76</v>
      </c>
      <c r="N510" s="3">
        <v>7.37</v>
      </c>
    </row>
    <row r="511" spans="1:14" x14ac:dyDescent="0.45">
      <c r="A511" s="1" t="s">
        <v>577</v>
      </c>
      <c r="B511" s="2">
        <v>45505</v>
      </c>
      <c r="C511" s="1" t="s">
        <v>48</v>
      </c>
      <c r="D511" s="1" t="s">
        <v>49</v>
      </c>
      <c r="E511" s="1" t="s">
        <v>56</v>
      </c>
      <c r="F511" s="1" t="s">
        <v>17</v>
      </c>
      <c r="G511" s="1" t="s">
        <v>66</v>
      </c>
      <c r="H511" s="1" t="s">
        <v>26</v>
      </c>
      <c r="I511" s="1" t="s">
        <v>27</v>
      </c>
      <c r="J511" s="1">
        <v>5</v>
      </c>
      <c r="K511" s="3">
        <v>347.03</v>
      </c>
      <c r="L511" s="4">
        <v>0.05</v>
      </c>
      <c r="M511" s="3">
        <v>1648.39</v>
      </c>
      <c r="N511" s="3">
        <v>369.08</v>
      </c>
    </row>
    <row r="512" spans="1:14" x14ac:dyDescent="0.45">
      <c r="A512" s="1" t="s">
        <v>578</v>
      </c>
      <c r="B512" s="2">
        <v>45516</v>
      </c>
      <c r="C512" s="1" t="s">
        <v>48</v>
      </c>
      <c r="D512" s="1" t="s">
        <v>91</v>
      </c>
      <c r="E512" s="1" t="s">
        <v>95</v>
      </c>
      <c r="F512" s="1" t="s">
        <v>24</v>
      </c>
      <c r="G512" s="1" t="s">
        <v>25</v>
      </c>
      <c r="H512" s="1" t="s">
        <v>26</v>
      </c>
      <c r="I512" s="1" t="s">
        <v>42</v>
      </c>
      <c r="J512" s="1">
        <v>8</v>
      </c>
      <c r="K512" s="3">
        <v>632.41</v>
      </c>
      <c r="L512" s="4">
        <v>0.05</v>
      </c>
      <c r="M512" s="3">
        <v>4806.3</v>
      </c>
      <c r="N512" s="3">
        <v>709.34</v>
      </c>
    </row>
    <row r="513" spans="1:14" x14ac:dyDescent="0.45">
      <c r="A513" s="1" t="s">
        <v>579</v>
      </c>
      <c r="B513" s="2">
        <v>45506</v>
      </c>
      <c r="C513" s="1" t="s">
        <v>48</v>
      </c>
      <c r="D513" s="1" t="s">
        <v>91</v>
      </c>
      <c r="E513" s="1" t="s">
        <v>73</v>
      </c>
      <c r="F513" s="1" t="s">
        <v>17</v>
      </c>
      <c r="G513" s="1" t="s">
        <v>74</v>
      </c>
      <c r="H513" s="1" t="s">
        <v>26</v>
      </c>
      <c r="I513" s="1" t="s">
        <v>27</v>
      </c>
      <c r="J513" s="1">
        <v>3</v>
      </c>
      <c r="K513" s="3">
        <v>564.30999999999995</v>
      </c>
      <c r="L513" s="4">
        <v>0.1</v>
      </c>
      <c r="M513" s="3">
        <v>1523.63</v>
      </c>
      <c r="N513" s="3">
        <v>249.92</v>
      </c>
    </row>
    <row r="514" spans="1:14" x14ac:dyDescent="0.45">
      <c r="A514" s="1" t="s">
        <v>580</v>
      </c>
      <c r="B514" s="2">
        <v>45534</v>
      </c>
      <c r="C514" s="1" t="s">
        <v>48</v>
      </c>
      <c r="D514" s="1" t="s">
        <v>78</v>
      </c>
      <c r="E514" s="1" t="s">
        <v>65</v>
      </c>
      <c r="F514" s="1" t="s">
        <v>32</v>
      </c>
      <c r="G514" s="1" t="s">
        <v>74</v>
      </c>
      <c r="H514" s="1" t="s">
        <v>26</v>
      </c>
      <c r="I514" s="1" t="s">
        <v>27</v>
      </c>
      <c r="J514" s="1">
        <v>1</v>
      </c>
      <c r="K514" s="3">
        <v>463.96</v>
      </c>
      <c r="L514" s="4">
        <v>0</v>
      </c>
      <c r="M514" s="3">
        <v>463.96</v>
      </c>
      <c r="N514" s="3">
        <v>37.19</v>
      </c>
    </row>
    <row r="515" spans="1:14" x14ac:dyDescent="0.45">
      <c r="A515" s="1" t="s">
        <v>581</v>
      </c>
      <c r="B515" s="2">
        <v>45518</v>
      </c>
      <c r="C515" s="1" t="s">
        <v>48</v>
      </c>
      <c r="D515" s="1" t="s">
        <v>78</v>
      </c>
      <c r="E515" s="1" t="s">
        <v>87</v>
      </c>
      <c r="F515" s="1" t="s">
        <v>24</v>
      </c>
      <c r="G515" s="1" t="s">
        <v>74</v>
      </c>
      <c r="H515" s="1" t="s">
        <v>26</v>
      </c>
      <c r="I515" s="1" t="s">
        <v>20</v>
      </c>
      <c r="J515" s="1">
        <v>8</v>
      </c>
      <c r="K515" s="3">
        <v>507.51</v>
      </c>
      <c r="L515" s="4">
        <v>0.03</v>
      </c>
      <c r="M515" s="3">
        <v>3938.29</v>
      </c>
      <c r="N515" s="3">
        <v>1042.72</v>
      </c>
    </row>
    <row r="516" spans="1:14" x14ac:dyDescent="0.45">
      <c r="A516" s="1" t="s">
        <v>582</v>
      </c>
      <c r="B516" s="2">
        <v>45519</v>
      </c>
      <c r="C516" s="1" t="s">
        <v>29</v>
      </c>
      <c r="D516" s="1" t="s">
        <v>44</v>
      </c>
      <c r="E516" s="1" t="s">
        <v>41</v>
      </c>
      <c r="F516" s="1" t="s">
        <v>32</v>
      </c>
      <c r="G516" s="1" t="s">
        <v>61</v>
      </c>
      <c r="H516" s="1" t="s">
        <v>51</v>
      </c>
      <c r="I516" s="1" t="s">
        <v>67</v>
      </c>
      <c r="J516" s="1">
        <v>4</v>
      </c>
      <c r="K516" s="3">
        <v>34.26</v>
      </c>
      <c r="L516" s="4">
        <v>0</v>
      </c>
      <c r="M516" s="3">
        <v>137.03</v>
      </c>
      <c r="N516" s="3">
        <v>-30.91</v>
      </c>
    </row>
    <row r="517" spans="1:14" x14ac:dyDescent="0.45">
      <c r="A517" s="1" t="s">
        <v>583</v>
      </c>
      <c r="B517" s="2">
        <v>45509</v>
      </c>
      <c r="C517" s="1" t="s">
        <v>48</v>
      </c>
      <c r="D517" s="1" t="s">
        <v>91</v>
      </c>
      <c r="E517" s="1" t="s">
        <v>95</v>
      </c>
      <c r="F517" s="1" t="s">
        <v>24</v>
      </c>
      <c r="G517" s="1" t="s">
        <v>50</v>
      </c>
      <c r="H517" s="1" t="s">
        <v>51</v>
      </c>
      <c r="I517" s="1" t="s">
        <v>20</v>
      </c>
      <c r="J517" s="1">
        <v>1</v>
      </c>
      <c r="K517" s="3">
        <v>590.33000000000004</v>
      </c>
      <c r="L517" s="4">
        <v>0.1</v>
      </c>
      <c r="M517" s="3">
        <v>531.29999999999995</v>
      </c>
      <c r="N517" s="3">
        <v>46.01</v>
      </c>
    </row>
    <row r="518" spans="1:14" x14ac:dyDescent="0.45">
      <c r="A518" s="1" t="s">
        <v>584</v>
      </c>
      <c r="B518" s="2">
        <v>45511</v>
      </c>
      <c r="C518" s="1" t="s">
        <v>29</v>
      </c>
      <c r="D518" s="1" t="s">
        <v>37</v>
      </c>
      <c r="E518" s="1" t="s">
        <v>65</v>
      </c>
      <c r="F518" s="1" t="s">
        <v>32</v>
      </c>
      <c r="G518" s="1" t="s">
        <v>74</v>
      </c>
      <c r="H518" s="1" t="s">
        <v>26</v>
      </c>
      <c r="I518" s="1" t="s">
        <v>67</v>
      </c>
      <c r="J518" s="1">
        <v>12</v>
      </c>
      <c r="K518" s="3">
        <v>82.71</v>
      </c>
      <c r="L518" s="4">
        <v>7.0000000000000007E-2</v>
      </c>
      <c r="M518" s="3">
        <v>923.06</v>
      </c>
      <c r="N518" s="3">
        <v>211.89</v>
      </c>
    </row>
    <row r="519" spans="1:14" x14ac:dyDescent="0.45">
      <c r="A519" s="1" t="s">
        <v>585</v>
      </c>
      <c r="B519" s="2">
        <v>45518</v>
      </c>
      <c r="C519" s="1" t="s">
        <v>48</v>
      </c>
      <c r="D519" s="1" t="s">
        <v>78</v>
      </c>
      <c r="E519" s="1" t="s">
        <v>23</v>
      </c>
      <c r="F519" s="1" t="s">
        <v>24</v>
      </c>
      <c r="G519" s="1" t="s">
        <v>57</v>
      </c>
      <c r="H519" s="1" t="s">
        <v>51</v>
      </c>
      <c r="I519" s="1" t="s">
        <v>42</v>
      </c>
      <c r="J519" s="1">
        <v>8</v>
      </c>
      <c r="K519" s="3">
        <v>484.94</v>
      </c>
      <c r="L519" s="4">
        <v>0</v>
      </c>
      <c r="M519" s="3">
        <v>3879.55</v>
      </c>
      <c r="N519" s="3">
        <v>993.89</v>
      </c>
    </row>
    <row r="520" spans="1:14" x14ac:dyDescent="0.45">
      <c r="A520" s="1" t="s">
        <v>586</v>
      </c>
      <c r="B520" s="2">
        <v>45524</v>
      </c>
      <c r="C520" s="1" t="s">
        <v>14</v>
      </c>
      <c r="D520" s="1" t="s">
        <v>22</v>
      </c>
      <c r="E520" s="1" t="s">
        <v>106</v>
      </c>
      <c r="F520" s="1" t="s">
        <v>32</v>
      </c>
      <c r="G520" s="1" t="s">
        <v>66</v>
      </c>
      <c r="H520" s="1" t="s">
        <v>26</v>
      </c>
      <c r="I520" s="1" t="s">
        <v>42</v>
      </c>
      <c r="J520" s="1">
        <v>2</v>
      </c>
      <c r="K520" s="3">
        <v>1657.1</v>
      </c>
      <c r="L520" s="4">
        <v>0</v>
      </c>
      <c r="M520" s="3">
        <v>3314.2</v>
      </c>
      <c r="N520" s="3">
        <v>562.6</v>
      </c>
    </row>
    <row r="521" spans="1:14" x14ac:dyDescent="0.45">
      <c r="A521" s="1" t="s">
        <v>587</v>
      </c>
      <c r="B521" s="2">
        <v>45518</v>
      </c>
      <c r="C521" s="1" t="s">
        <v>14</v>
      </c>
      <c r="D521" s="1" t="s">
        <v>80</v>
      </c>
      <c r="E521" s="1" t="s">
        <v>73</v>
      </c>
      <c r="F521" s="1" t="s">
        <v>24</v>
      </c>
      <c r="G521" s="1" t="s">
        <v>46</v>
      </c>
      <c r="H521" s="1" t="s">
        <v>26</v>
      </c>
      <c r="I521" s="1" t="s">
        <v>20</v>
      </c>
      <c r="J521" s="1">
        <v>1</v>
      </c>
      <c r="K521" s="3">
        <v>399.56</v>
      </c>
      <c r="L521" s="4">
        <v>0.1</v>
      </c>
      <c r="M521" s="3">
        <v>359.61</v>
      </c>
      <c r="N521" s="3">
        <v>-42.03</v>
      </c>
    </row>
    <row r="522" spans="1:14" x14ac:dyDescent="0.45">
      <c r="A522" s="1" t="s">
        <v>588</v>
      </c>
      <c r="B522" s="2">
        <v>45512</v>
      </c>
      <c r="C522" s="1" t="s">
        <v>29</v>
      </c>
      <c r="D522" s="1" t="s">
        <v>37</v>
      </c>
      <c r="E522" s="1" t="s">
        <v>53</v>
      </c>
      <c r="F522" s="1" t="s">
        <v>17</v>
      </c>
      <c r="G522" s="1" t="s">
        <v>50</v>
      </c>
      <c r="H522" s="1" t="s">
        <v>51</v>
      </c>
      <c r="I522" s="1" t="s">
        <v>27</v>
      </c>
      <c r="J522" s="1">
        <v>12</v>
      </c>
      <c r="K522" s="3">
        <v>88.04</v>
      </c>
      <c r="L522" s="4">
        <v>0.1</v>
      </c>
      <c r="M522" s="3">
        <v>950.82</v>
      </c>
      <c r="N522" s="3">
        <v>152.32</v>
      </c>
    </row>
    <row r="523" spans="1:14" x14ac:dyDescent="0.45">
      <c r="A523" s="1" t="s">
        <v>589</v>
      </c>
      <c r="B523" s="2">
        <v>45519</v>
      </c>
      <c r="C523" s="1" t="s">
        <v>14</v>
      </c>
      <c r="D523" s="1" t="s">
        <v>80</v>
      </c>
      <c r="E523" s="1" t="s">
        <v>69</v>
      </c>
      <c r="F523" s="1" t="s">
        <v>32</v>
      </c>
      <c r="G523" s="1" t="s">
        <v>46</v>
      </c>
      <c r="H523" s="1" t="s">
        <v>26</v>
      </c>
      <c r="I523" s="1" t="s">
        <v>27</v>
      </c>
      <c r="J523" s="1">
        <v>3</v>
      </c>
      <c r="K523" s="3">
        <v>390.92</v>
      </c>
      <c r="L523" s="4">
        <v>0.1</v>
      </c>
      <c r="M523" s="3">
        <v>1055.48</v>
      </c>
      <c r="N523" s="3">
        <v>109.24</v>
      </c>
    </row>
    <row r="524" spans="1:14" x14ac:dyDescent="0.45">
      <c r="A524" s="1" t="s">
        <v>590</v>
      </c>
      <c r="B524" s="2">
        <v>45553</v>
      </c>
      <c r="C524" s="1" t="s">
        <v>29</v>
      </c>
      <c r="D524" s="1" t="s">
        <v>37</v>
      </c>
      <c r="E524" s="1" t="s">
        <v>23</v>
      </c>
      <c r="F524" s="1" t="s">
        <v>32</v>
      </c>
      <c r="G524" s="1" t="s">
        <v>54</v>
      </c>
      <c r="H524" s="1" t="s">
        <v>51</v>
      </c>
      <c r="I524" s="1" t="s">
        <v>67</v>
      </c>
      <c r="J524" s="1">
        <v>12</v>
      </c>
      <c r="K524" s="3">
        <v>111.97</v>
      </c>
      <c r="L524" s="4">
        <v>0</v>
      </c>
      <c r="M524" s="3">
        <v>1343.68</v>
      </c>
      <c r="N524" s="3">
        <v>209.34</v>
      </c>
    </row>
    <row r="525" spans="1:14" x14ac:dyDescent="0.45">
      <c r="A525" s="1" t="s">
        <v>591</v>
      </c>
      <c r="B525" s="2">
        <v>45551</v>
      </c>
      <c r="C525" s="1" t="s">
        <v>14</v>
      </c>
      <c r="D525" s="1" t="s">
        <v>22</v>
      </c>
      <c r="E525" s="1" t="s">
        <v>106</v>
      </c>
      <c r="F525" s="1" t="s">
        <v>32</v>
      </c>
      <c r="G525" s="1" t="s">
        <v>18</v>
      </c>
      <c r="H525" s="1" t="s">
        <v>19</v>
      </c>
      <c r="I525" s="1" t="s">
        <v>39</v>
      </c>
      <c r="J525" s="1">
        <v>3</v>
      </c>
      <c r="K525" s="3">
        <v>1584.98</v>
      </c>
      <c r="L525" s="4">
        <v>0.05</v>
      </c>
      <c r="M525" s="3">
        <v>4517.2</v>
      </c>
      <c r="N525" s="3">
        <v>670.15</v>
      </c>
    </row>
    <row r="526" spans="1:14" x14ac:dyDescent="0.45">
      <c r="A526" s="1" t="s">
        <v>592</v>
      </c>
      <c r="B526" s="2">
        <v>45546</v>
      </c>
      <c r="C526" s="1" t="s">
        <v>48</v>
      </c>
      <c r="D526" s="1" t="s">
        <v>91</v>
      </c>
      <c r="E526" s="1" t="s">
        <v>81</v>
      </c>
      <c r="F526" s="1" t="s">
        <v>32</v>
      </c>
      <c r="G526" s="1" t="s">
        <v>54</v>
      </c>
      <c r="H526" s="1" t="s">
        <v>51</v>
      </c>
      <c r="I526" s="1" t="s">
        <v>27</v>
      </c>
      <c r="J526" s="1">
        <v>8</v>
      </c>
      <c r="K526" s="3">
        <v>810.72</v>
      </c>
      <c r="L526" s="4">
        <v>0.03</v>
      </c>
      <c r="M526" s="3">
        <v>6291.21</v>
      </c>
      <c r="N526" s="3">
        <v>1128.1300000000001</v>
      </c>
    </row>
    <row r="527" spans="1:14" x14ac:dyDescent="0.45">
      <c r="A527" s="1" t="s">
        <v>593</v>
      </c>
      <c r="B527" s="2">
        <v>45560</v>
      </c>
      <c r="C527" s="1" t="s">
        <v>48</v>
      </c>
      <c r="D527" s="1" t="s">
        <v>91</v>
      </c>
      <c r="E527" s="1" t="s">
        <v>63</v>
      </c>
      <c r="F527" s="1" t="s">
        <v>32</v>
      </c>
      <c r="G527" s="1" t="s">
        <v>33</v>
      </c>
      <c r="H527" s="1" t="s">
        <v>34</v>
      </c>
      <c r="I527" s="1" t="s">
        <v>27</v>
      </c>
      <c r="J527" s="1">
        <v>4</v>
      </c>
      <c r="K527" s="3">
        <v>786.99</v>
      </c>
      <c r="L527" s="4">
        <v>0.05</v>
      </c>
      <c r="M527" s="3">
        <v>2990.55</v>
      </c>
      <c r="N527" s="3">
        <v>497.79</v>
      </c>
    </row>
    <row r="528" spans="1:14" x14ac:dyDescent="0.45">
      <c r="A528" s="1" t="s">
        <v>594</v>
      </c>
      <c r="B528" s="2">
        <v>45560</v>
      </c>
      <c r="C528" s="1" t="s">
        <v>14</v>
      </c>
      <c r="D528" s="1" t="s">
        <v>22</v>
      </c>
      <c r="E528" s="1" t="s">
        <v>69</v>
      </c>
      <c r="F528" s="1" t="s">
        <v>24</v>
      </c>
      <c r="G528" s="1" t="s">
        <v>46</v>
      </c>
      <c r="H528" s="1" t="s">
        <v>26</v>
      </c>
      <c r="I528" s="1" t="s">
        <v>67</v>
      </c>
      <c r="J528" s="1">
        <v>5</v>
      </c>
      <c r="K528" s="3">
        <v>1580.6</v>
      </c>
      <c r="L528" s="4">
        <v>0</v>
      </c>
      <c r="M528" s="3">
        <v>7903</v>
      </c>
      <c r="N528" s="3">
        <v>1617.43</v>
      </c>
    </row>
    <row r="529" spans="1:14" x14ac:dyDescent="0.45">
      <c r="A529" s="1" t="s">
        <v>595</v>
      </c>
      <c r="B529" s="2">
        <v>45540</v>
      </c>
      <c r="C529" s="1" t="s">
        <v>48</v>
      </c>
      <c r="D529" s="1" t="s">
        <v>49</v>
      </c>
      <c r="E529" s="1" t="s">
        <v>38</v>
      </c>
      <c r="F529" s="1" t="s">
        <v>32</v>
      </c>
      <c r="G529" s="1" t="s">
        <v>25</v>
      </c>
      <c r="H529" s="1" t="s">
        <v>26</v>
      </c>
      <c r="I529" s="1" t="s">
        <v>39</v>
      </c>
      <c r="J529" s="1">
        <v>2</v>
      </c>
      <c r="K529" s="3">
        <v>349.28</v>
      </c>
      <c r="L529" s="4">
        <v>0</v>
      </c>
      <c r="M529" s="3">
        <v>698.55</v>
      </c>
      <c r="N529" s="3">
        <v>89.56</v>
      </c>
    </row>
    <row r="530" spans="1:14" x14ac:dyDescent="0.45">
      <c r="A530" s="1" t="s">
        <v>596</v>
      </c>
      <c r="B530" s="2">
        <v>45546</v>
      </c>
      <c r="C530" s="1" t="s">
        <v>29</v>
      </c>
      <c r="D530" s="1" t="s">
        <v>44</v>
      </c>
      <c r="E530" s="1" t="s">
        <v>63</v>
      </c>
      <c r="F530" s="1" t="s">
        <v>24</v>
      </c>
      <c r="G530" s="1" t="s">
        <v>54</v>
      </c>
      <c r="H530" s="1" t="s">
        <v>51</v>
      </c>
      <c r="I530" s="1" t="s">
        <v>42</v>
      </c>
      <c r="J530" s="1">
        <v>11</v>
      </c>
      <c r="K530" s="3">
        <v>38.74</v>
      </c>
      <c r="L530" s="4">
        <v>0.03</v>
      </c>
      <c r="M530" s="3">
        <v>413.36</v>
      </c>
      <c r="N530" s="3">
        <v>65.28</v>
      </c>
    </row>
    <row r="531" spans="1:14" x14ac:dyDescent="0.45">
      <c r="A531" s="1" t="s">
        <v>597</v>
      </c>
      <c r="B531" s="2">
        <v>45565</v>
      </c>
      <c r="C531" s="1" t="s">
        <v>14</v>
      </c>
      <c r="D531" s="1" t="s">
        <v>80</v>
      </c>
      <c r="E531" s="1" t="s">
        <v>73</v>
      </c>
      <c r="F531" s="1" t="s">
        <v>32</v>
      </c>
      <c r="G531" s="1" t="s">
        <v>18</v>
      </c>
      <c r="H531" s="1" t="s">
        <v>19</v>
      </c>
      <c r="I531" s="1" t="s">
        <v>39</v>
      </c>
      <c r="J531" s="1">
        <v>2</v>
      </c>
      <c r="K531" s="3">
        <v>413.46</v>
      </c>
      <c r="L531" s="4">
        <v>0</v>
      </c>
      <c r="M531" s="3">
        <v>826.92</v>
      </c>
      <c r="N531" s="3">
        <v>142.46</v>
      </c>
    </row>
    <row r="532" spans="1:14" x14ac:dyDescent="0.45">
      <c r="A532" s="1" t="s">
        <v>598</v>
      </c>
      <c r="B532" s="2">
        <v>45545</v>
      </c>
      <c r="C532" s="1" t="s">
        <v>48</v>
      </c>
      <c r="D532" s="1" t="s">
        <v>78</v>
      </c>
      <c r="E532" s="1" t="s">
        <v>95</v>
      </c>
      <c r="F532" s="1" t="s">
        <v>24</v>
      </c>
      <c r="G532" s="1" t="s">
        <v>66</v>
      </c>
      <c r="H532" s="1" t="s">
        <v>26</v>
      </c>
      <c r="I532" s="1" t="s">
        <v>35</v>
      </c>
      <c r="J532" s="1">
        <v>6</v>
      </c>
      <c r="K532" s="3">
        <v>564.61</v>
      </c>
      <c r="L532" s="4">
        <v>0.1</v>
      </c>
      <c r="M532" s="3">
        <v>3048.89</v>
      </c>
      <c r="N532" s="3">
        <v>708.89</v>
      </c>
    </row>
    <row r="533" spans="1:14" x14ac:dyDescent="0.45">
      <c r="A533" s="1" t="s">
        <v>599</v>
      </c>
      <c r="B533" s="2">
        <v>45554</v>
      </c>
      <c r="C533" s="1" t="s">
        <v>14</v>
      </c>
      <c r="D533" s="1" t="s">
        <v>80</v>
      </c>
      <c r="E533" s="1" t="s">
        <v>53</v>
      </c>
      <c r="F533" s="1" t="s">
        <v>24</v>
      </c>
      <c r="G533" s="1" t="s">
        <v>74</v>
      </c>
      <c r="H533" s="1" t="s">
        <v>26</v>
      </c>
      <c r="I533" s="1" t="s">
        <v>39</v>
      </c>
      <c r="J533" s="1">
        <v>1</v>
      </c>
      <c r="K533" s="3">
        <v>388.82</v>
      </c>
      <c r="L533" s="4">
        <v>0.05</v>
      </c>
      <c r="M533" s="3">
        <v>369.38</v>
      </c>
      <c r="N533" s="3">
        <v>65.72</v>
      </c>
    </row>
    <row r="534" spans="1:14" x14ac:dyDescent="0.45">
      <c r="A534" s="1" t="s">
        <v>600</v>
      </c>
      <c r="B534" s="2">
        <v>45561</v>
      </c>
      <c r="C534" s="1" t="s">
        <v>14</v>
      </c>
      <c r="D534" s="1" t="s">
        <v>22</v>
      </c>
      <c r="E534" s="1" t="s">
        <v>60</v>
      </c>
      <c r="F534" s="1" t="s">
        <v>17</v>
      </c>
      <c r="G534" s="1" t="s">
        <v>61</v>
      </c>
      <c r="H534" s="1" t="s">
        <v>51</v>
      </c>
      <c r="I534" s="1" t="s">
        <v>42</v>
      </c>
      <c r="J534" s="1">
        <v>8</v>
      </c>
      <c r="K534" s="3">
        <v>1690.54</v>
      </c>
      <c r="L534" s="4">
        <v>0.03</v>
      </c>
      <c r="M534" s="3">
        <v>13118.56</v>
      </c>
      <c r="N534" s="3">
        <v>2181.19</v>
      </c>
    </row>
    <row r="535" spans="1:14" x14ac:dyDescent="0.45">
      <c r="A535" s="1" t="s">
        <v>601</v>
      </c>
      <c r="B535" s="2">
        <v>45558</v>
      </c>
      <c r="C535" s="1" t="s">
        <v>14</v>
      </c>
      <c r="D535" s="1" t="s">
        <v>80</v>
      </c>
      <c r="E535" s="1" t="s">
        <v>56</v>
      </c>
      <c r="F535" s="1" t="s">
        <v>17</v>
      </c>
      <c r="G535" s="1" t="s">
        <v>74</v>
      </c>
      <c r="H535" s="1" t="s">
        <v>26</v>
      </c>
      <c r="I535" s="1" t="s">
        <v>42</v>
      </c>
      <c r="J535" s="1">
        <v>8</v>
      </c>
      <c r="K535" s="3">
        <v>386.96</v>
      </c>
      <c r="L535" s="4">
        <v>0.03</v>
      </c>
      <c r="M535" s="3">
        <v>3002.8</v>
      </c>
      <c r="N535" s="3">
        <v>618.80999999999995</v>
      </c>
    </row>
    <row r="536" spans="1:14" x14ac:dyDescent="0.45">
      <c r="A536" s="1" t="s">
        <v>602</v>
      </c>
      <c r="B536" s="2">
        <v>45552</v>
      </c>
      <c r="C536" s="1" t="s">
        <v>29</v>
      </c>
      <c r="D536" s="1" t="s">
        <v>30</v>
      </c>
      <c r="E536" s="1" t="s">
        <v>56</v>
      </c>
      <c r="F536" s="1" t="s">
        <v>24</v>
      </c>
      <c r="G536" s="1" t="s">
        <v>25</v>
      </c>
      <c r="H536" s="1" t="s">
        <v>26</v>
      </c>
      <c r="I536" s="1" t="s">
        <v>35</v>
      </c>
      <c r="J536" s="1">
        <v>13</v>
      </c>
      <c r="K536" s="3">
        <v>57.33</v>
      </c>
      <c r="L536" s="4">
        <v>0.1</v>
      </c>
      <c r="M536" s="3">
        <v>670.74</v>
      </c>
      <c r="N536" s="3">
        <v>109.34</v>
      </c>
    </row>
    <row r="537" spans="1:14" x14ac:dyDescent="0.45">
      <c r="A537" s="1" t="s">
        <v>603</v>
      </c>
      <c r="B537" s="2">
        <v>45562</v>
      </c>
      <c r="C537" s="1" t="s">
        <v>29</v>
      </c>
      <c r="D537" s="1" t="s">
        <v>44</v>
      </c>
      <c r="E537" s="1" t="s">
        <v>41</v>
      </c>
      <c r="F537" s="1" t="s">
        <v>32</v>
      </c>
      <c r="G537" s="1" t="s">
        <v>54</v>
      </c>
      <c r="H537" s="1" t="s">
        <v>51</v>
      </c>
      <c r="I537" s="1" t="s">
        <v>27</v>
      </c>
      <c r="J537" s="1">
        <v>13</v>
      </c>
      <c r="K537" s="3">
        <v>41.36</v>
      </c>
      <c r="L537" s="4">
        <v>0</v>
      </c>
      <c r="M537" s="3">
        <v>537.72</v>
      </c>
      <c r="N537" s="3">
        <v>66.89</v>
      </c>
    </row>
    <row r="538" spans="1:14" x14ac:dyDescent="0.45">
      <c r="A538" s="1" t="s">
        <v>604</v>
      </c>
      <c r="B538" s="2">
        <v>45554</v>
      </c>
      <c r="C538" s="1" t="s">
        <v>14</v>
      </c>
      <c r="D538" s="1" t="s">
        <v>15</v>
      </c>
      <c r="E538" s="1" t="s">
        <v>60</v>
      </c>
      <c r="F538" s="1" t="s">
        <v>24</v>
      </c>
      <c r="G538" s="1" t="s">
        <v>66</v>
      </c>
      <c r="H538" s="1" t="s">
        <v>26</v>
      </c>
      <c r="I538" s="1" t="s">
        <v>27</v>
      </c>
      <c r="J538" s="1">
        <v>12</v>
      </c>
      <c r="K538" s="3">
        <v>116.16</v>
      </c>
      <c r="L538" s="4">
        <v>0</v>
      </c>
      <c r="M538" s="3">
        <v>1393.97</v>
      </c>
      <c r="N538" s="3">
        <v>375.58</v>
      </c>
    </row>
    <row r="539" spans="1:14" x14ac:dyDescent="0.45">
      <c r="A539" s="1" t="s">
        <v>605</v>
      </c>
      <c r="B539" s="2">
        <v>45562</v>
      </c>
      <c r="C539" s="1" t="s">
        <v>48</v>
      </c>
      <c r="D539" s="1" t="s">
        <v>91</v>
      </c>
      <c r="E539" s="1" t="s">
        <v>104</v>
      </c>
      <c r="F539" s="1" t="s">
        <v>17</v>
      </c>
      <c r="G539" s="1" t="s">
        <v>25</v>
      </c>
      <c r="H539" s="1" t="s">
        <v>26</v>
      </c>
      <c r="I539" s="1" t="s">
        <v>67</v>
      </c>
      <c r="J539" s="1">
        <v>3</v>
      </c>
      <c r="K539" s="3">
        <v>716.69</v>
      </c>
      <c r="L539" s="4">
        <v>0.05</v>
      </c>
      <c r="M539" s="3">
        <v>2042.57</v>
      </c>
      <c r="N539" s="3">
        <v>290.01</v>
      </c>
    </row>
    <row r="540" spans="1:14" x14ac:dyDescent="0.45">
      <c r="A540" s="1" t="s">
        <v>606</v>
      </c>
      <c r="B540" s="2">
        <v>45562</v>
      </c>
      <c r="C540" s="1" t="s">
        <v>29</v>
      </c>
      <c r="D540" s="1" t="s">
        <v>44</v>
      </c>
      <c r="E540" s="1" t="s">
        <v>53</v>
      </c>
      <c r="F540" s="1" t="s">
        <v>24</v>
      </c>
      <c r="G540" s="1" t="s">
        <v>74</v>
      </c>
      <c r="H540" s="1" t="s">
        <v>26</v>
      </c>
      <c r="I540" s="1" t="s">
        <v>42</v>
      </c>
      <c r="J540" s="1">
        <v>9</v>
      </c>
      <c r="K540" s="3">
        <v>32.22</v>
      </c>
      <c r="L540" s="4">
        <v>0.1</v>
      </c>
      <c r="M540" s="3">
        <v>261</v>
      </c>
      <c r="N540" s="3">
        <v>-15.56</v>
      </c>
    </row>
    <row r="541" spans="1:14" x14ac:dyDescent="0.45">
      <c r="A541" s="1" t="s">
        <v>607</v>
      </c>
      <c r="B541" s="2">
        <v>45565</v>
      </c>
      <c r="C541" s="1" t="s">
        <v>29</v>
      </c>
      <c r="D541" s="1" t="s">
        <v>30</v>
      </c>
      <c r="E541" s="1" t="s">
        <v>104</v>
      </c>
      <c r="F541" s="1" t="s">
        <v>32</v>
      </c>
      <c r="G541" s="1" t="s">
        <v>74</v>
      </c>
      <c r="H541" s="1" t="s">
        <v>26</v>
      </c>
      <c r="I541" s="1" t="s">
        <v>35</v>
      </c>
      <c r="J541" s="1">
        <v>5</v>
      </c>
      <c r="K541" s="3">
        <v>56.66</v>
      </c>
      <c r="L541" s="4">
        <v>0</v>
      </c>
      <c r="M541" s="3">
        <v>283.32</v>
      </c>
      <c r="N541" s="3">
        <v>11.56</v>
      </c>
    </row>
    <row r="542" spans="1:14" x14ac:dyDescent="0.45">
      <c r="A542" s="1" t="s">
        <v>608</v>
      </c>
      <c r="B542" s="2">
        <v>45538</v>
      </c>
      <c r="C542" s="1" t="s">
        <v>14</v>
      </c>
      <c r="D542" s="1" t="s">
        <v>15</v>
      </c>
      <c r="E542" s="1" t="s">
        <v>60</v>
      </c>
      <c r="F542" s="1" t="s">
        <v>32</v>
      </c>
      <c r="G542" s="1" t="s">
        <v>74</v>
      </c>
      <c r="H542" s="1" t="s">
        <v>26</v>
      </c>
      <c r="I542" s="1" t="s">
        <v>39</v>
      </c>
      <c r="J542" s="1">
        <v>3</v>
      </c>
      <c r="K542" s="3">
        <v>96.64</v>
      </c>
      <c r="L542" s="4">
        <v>0</v>
      </c>
      <c r="M542" s="3">
        <v>289.93</v>
      </c>
      <c r="N542" s="3">
        <v>-30.34</v>
      </c>
    </row>
    <row r="543" spans="1:14" x14ac:dyDescent="0.45">
      <c r="A543" s="1" t="s">
        <v>609</v>
      </c>
      <c r="B543" s="2">
        <v>45596</v>
      </c>
      <c r="C543" s="1" t="s">
        <v>48</v>
      </c>
      <c r="D543" s="1" t="s">
        <v>49</v>
      </c>
      <c r="E543" s="1" t="s">
        <v>73</v>
      </c>
      <c r="F543" s="1" t="s">
        <v>32</v>
      </c>
      <c r="G543" s="1" t="s">
        <v>57</v>
      </c>
      <c r="H543" s="1" t="s">
        <v>51</v>
      </c>
      <c r="I543" s="1" t="s">
        <v>39</v>
      </c>
      <c r="J543" s="1">
        <v>8</v>
      </c>
      <c r="K543" s="3">
        <v>325.42</v>
      </c>
      <c r="L543" s="4">
        <v>0.1</v>
      </c>
      <c r="M543" s="3">
        <v>2343</v>
      </c>
      <c r="N543" s="3">
        <v>594.15</v>
      </c>
    </row>
    <row r="544" spans="1:14" x14ac:dyDescent="0.45">
      <c r="A544" s="1" t="s">
        <v>610</v>
      </c>
      <c r="B544" s="2">
        <v>45590</v>
      </c>
      <c r="C544" s="1" t="s">
        <v>29</v>
      </c>
      <c r="D544" s="1" t="s">
        <v>44</v>
      </c>
      <c r="E544" s="1" t="s">
        <v>41</v>
      </c>
      <c r="F544" s="1" t="s">
        <v>24</v>
      </c>
      <c r="G544" s="1" t="s">
        <v>46</v>
      </c>
      <c r="H544" s="1" t="s">
        <v>26</v>
      </c>
      <c r="I544" s="1" t="s">
        <v>27</v>
      </c>
      <c r="J544" s="1">
        <v>18</v>
      </c>
      <c r="K544" s="3">
        <v>33.049999999999997</v>
      </c>
      <c r="L544" s="4">
        <v>0</v>
      </c>
      <c r="M544" s="3">
        <v>594.89</v>
      </c>
      <c r="N544" s="3">
        <v>121.76</v>
      </c>
    </row>
    <row r="545" spans="1:14" x14ac:dyDescent="0.45">
      <c r="A545" s="1" t="s">
        <v>611</v>
      </c>
      <c r="B545" s="2">
        <v>45583</v>
      </c>
      <c r="C545" s="1" t="s">
        <v>14</v>
      </c>
      <c r="D545" s="1" t="s">
        <v>22</v>
      </c>
      <c r="E545" s="1" t="s">
        <v>92</v>
      </c>
      <c r="F545" s="1" t="s">
        <v>17</v>
      </c>
      <c r="G545" s="1" t="s">
        <v>50</v>
      </c>
      <c r="H545" s="1" t="s">
        <v>51</v>
      </c>
      <c r="I545" s="1" t="s">
        <v>35</v>
      </c>
      <c r="J545" s="1">
        <v>1</v>
      </c>
      <c r="K545" s="3">
        <v>1499.79</v>
      </c>
      <c r="L545" s="4">
        <v>0.1</v>
      </c>
      <c r="M545" s="3">
        <v>1349.81</v>
      </c>
      <c r="N545" s="3">
        <v>163.77000000000001</v>
      </c>
    </row>
    <row r="546" spans="1:14" x14ac:dyDescent="0.45">
      <c r="A546" s="1" t="s">
        <v>612</v>
      </c>
      <c r="B546" s="2">
        <v>45582</v>
      </c>
      <c r="C546" s="1" t="s">
        <v>29</v>
      </c>
      <c r="D546" s="1" t="s">
        <v>44</v>
      </c>
      <c r="E546" s="1" t="s">
        <v>73</v>
      </c>
      <c r="F546" s="1" t="s">
        <v>17</v>
      </c>
      <c r="G546" s="1" t="s">
        <v>61</v>
      </c>
      <c r="H546" s="1" t="s">
        <v>51</v>
      </c>
      <c r="I546" s="1" t="s">
        <v>42</v>
      </c>
      <c r="J546" s="1">
        <v>7</v>
      </c>
      <c r="K546" s="3">
        <v>36.47</v>
      </c>
      <c r="L546" s="4">
        <v>0</v>
      </c>
      <c r="M546" s="3">
        <v>255.32</v>
      </c>
      <c r="N546" s="3">
        <v>-1.1100000000000001</v>
      </c>
    </row>
    <row r="547" spans="1:14" x14ac:dyDescent="0.45">
      <c r="A547" s="1" t="s">
        <v>613</v>
      </c>
      <c r="B547" s="2">
        <v>45586</v>
      </c>
      <c r="C547" s="1" t="s">
        <v>29</v>
      </c>
      <c r="D547" s="1" t="s">
        <v>30</v>
      </c>
      <c r="E547" s="1" t="s">
        <v>56</v>
      </c>
      <c r="F547" s="1" t="s">
        <v>17</v>
      </c>
      <c r="G547" s="1" t="s">
        <v>18</v>
      </c>
      <c r="H547" s="1" t="s">
        <v>19</v>
      </c>
      <c r="I547" s="1" t="s">
        <v>27</v>
      </c>
      <c r="J547" s="1">
        <v>4</v>
      </c>
      <c r="K547" s="3">
        <v>56.64</v>
      </c>
      <c r="L547" s="4">
        <v>0</v>
      </c>
      <c r="M547" s="3">
        <v>226.54</v>
      </c>
      <c r="N547" s="3">
        <v>7.56</v>
      </c>
    </row>
    <row r="548" spans="1:14" x14ac:dyDescent="0.45">
      <c r="A548" s="1" t="s">
        <v>614</v>
      </c>
      <c r="B548" s="2">
        <v>45587</v>
      </c>
      <c r="C548" s="1" t="s">
        <v>14</v>
      </c>
      <c r="D548" s="1" t="s">
        <v>22</v>
      </c>
      <c r="E548" s="1" t="s">
        <v>31</v>
      </c>
      <c r="F548" s="1" t="s">
        <v>32</v>
      </c>
      <c r="G548" s="1" t="s">
        <v>33</v>
      </c>
      <c r="H548" s="1" t="s">
        <v>34</v>
      </c>
      <c r="I548" s="1" t="s">
        <v>42</v>
      </c>
      <c r="J548" s="1">
        <v>7</v>
      </c>
      <c r="K548" s="3">
        <v>1787.35</v>
      </c>
      <c r="L548" s="4">
        <v>0.05</v>
      </c>
      <c r="M548" s="3">
        <v>11885.85</v>
      </c>
      <c r="N548" s="3">
        <v>2120.4699999999998</v>
      </c>
    </row>
    <row r="549" spans="1:14" x14ac:dyDescent="0.45">
      <c r="A549" s="1" t="s">
        <v>615</v>
      </c>
      <c r="B549" s="2">
        <v>45586</v>
      </c>
      <c r="C549" s="1" t="s">
        <v>29</v>
      </c>
      <c r="D549" s="1" t="s">
        <v>44</v>
      </c>
      <c r="E549" s="1" t="s">
        <v>45</v>
      </c>
      <c r="F549" s="1" t="s">
        <v>32</v>
      </c>
      <c r="G549" s="1" t="s">
        <v>25</v>
      </c>
      <c r="H549" s="1" t="s">
        <v>26</v>
      </c>
      <c r="I549" s="1" t="s">
        <v>67</v>
      </c>
      <c r="J549" s="1">
        <v>2</v>
      </c>
      <c r="K549" s="3">
        <v>35.950000000000003</v>
      </c>
      <c r="L549" s="4">
        <v>0.1</v>
      </c>
      <c r="M549" s="3">
        <v>64.709999999999994</v>
      </c>
      <c r="N549" s="3">
        <v>-24</v>
      </c>
    </row>
    <row r="550" spans="1:14" x14ac:dyDescent="0.45">
      <c r="A550" s="1" t="s">
        <v>616</v>
      </c>
      <c r="B550" s="2">
        <v>45568</v>
      </c>
      <c r="C550" s="1" t="s">
        <v>48</v>
      </c>
      <c r="D550" s="1" t="s">
        <v>78</v>
      </c>
      <c r="E550" s="1" t="s">
        <v>38</v>
      </c>
      <c r="F550" s="1" t="s">
        <v>17</v>
      </c>
      <c r="G550" s="1" t="s">
        <v>46</v>
      </c>
      <c r="H550" s="1" t="s">
        <v>26</v>
      </c>
      <c r="I550" s="1" t="s">
        <v>67</v>
      </c>
      <c r="J550" s="1">
        <v>8</v>
      </c>
      <c r="K550" s="3">
        <v>528.98</v>
      </c>
      <c r="L550" s="4">
        <v>0</v>
      </c>
      <c r="M550" s="3">
        <v>4231.84</v>
      </c>
      <c r="N550" s="3">
        <v>889.45</v>
      </c>
    </row>
    <row r="551" spans="1:14" x14ac:dyDescent="0.45">
      <c r="A551" s="1" t="s">
        <v>617</v>
      </c>
      <c r="B551" s="2">
        <v>45596</v>
      </c>
      <c r="C551" s="1" t="s">
        <v>14</v>
      </c>
      <c r="D551" s="1" t="s">
        <v>15</v>
      </c>
      <c r="E551" s="1" t="s">
        <v>81</v>
      </c>
      <c r="F551" s="1" t="s">
        <v>32</v>
      </c>
      <c r="G551" s="1" t="s">
        <v>50</v>
      </c>
      <c r="H551" s="1" t="s">
        <v>51</v>
      </c>
      <c r="I551" s="1" t="s">
        <v>67</v>
      </c>
      <c r="J551" s="1">
        <v>4</v>
      </c>
      <c r="K551" s="3">
        <v>106.21</v>
      </c>
      <c r="L551" s="4">
        <v>7.0000000000000007E-2</v>
      </c>
      <c r="M551" s="3">
        <v>395.12</v>
      </c>
      <c r="N551" s="3">
        <v>26.54</v>
      </c>
    </row>
    <row r="552" spans="1:14" x14ac:dyDescent="0.45">
      <c r="A552" s="1" t="s">
        <v>618</v>
      </c>
      <c r="B552" s="2">
        <v>45589</v>
      </c>
      <c r="C552" s="1" t="s">
        <v>48</v>
      </c>
      <c r="D552" s="1" t="s">
        <v>49</v>
      </c>
      <c r="E552" s="1" t="s">
        <v>87</v>
      </c>
      <c r="F552" s="1" t="s">
        <v>32</v>
      </c>
      <c r="G552" s="1" t="s">
        <v>50</v>
      </c>
      <c r="H552" s="1" t="s">
        <v>51</v>
      </c>
      <c r="I552" s="1" t="s">
        <v>67</v>
      </c>
      <c r="J552" s="1">
        <v>1</v>
      </c>
      <c r="K552" s="3">
        <v>381.41</v>
      </c>
      <c r="L552" s="4">
        <v>7.0000000000000007E-2</v>
      </c>
      <c r="M552" s="3">
        <v>354.72</v>
      </c>
      <c r="N552" s="3">
        <v>16.88</v>
      </c>
    </row>
    <row r="553" spans="1:14" x14ac:dyDescent="0.45">
      <c r="A553" s="1" t="s">
        <v>619</v>
      </c>
      <c r="B553" s="2">
        <v>45593</v>
      </c>
      <c r="C553" s="1" t="s">
        <v>29</v>
      </c>
      <c r="D553" s="1" t="s">
        <v>37</v>
      </c>
      <c r="E553" s="1" t="s">
        <v>31</v>
      </c>
      <c r="F553" s="1" t="s">
        <v>32</v>
      </c>
      <c r="G553" s="1" t="s">
        <v>46</v>
      </c>
      <c r="H553" s="1" t="s">
        <v>26</v>
      </c>
      <c r="I553" s="1" t="s">
        <v>35</v>
      </c>
      <c r="J553" s="1">
        <v>11</v>
      </c>
      <c r="K553" s="3">
        <v>85.58</v>
      </c>
      <c r="L553" s="4">
        <v>0.1</v>
      </c>
      <c r="M553" s="3">
        <v>847.25</v>
      </c>
      <c r="N553" s="3">
        <v>166.93</v>
      </c>
    </row>
    <row r="554" spans="1:14" x14ac:dyDescent="0.45">
      <c r="A554" s="1" t="s">
        <v>620</v>
      </c>
      <c r="B554" s="2">
        <v>45580</v>
      </c>
      <c r="C554" s="1" t="s">
        <v>29</v>
      </c>
      <c r="D554" s="1" t="s">
        <v>30</v>
      </c>
      <c r="E554" s="1" t="s">
        <v>87</v>
      </c>
      <c r="F554" s="1" t="s">
        <v>17</v>
      </c>
      <c r="G554" s="1" t="s">
        <v>57</v>
      </c>
      <c r="H554" s="1" t="s">
        <v>51</v>
      </c>
      <c r="I554" s="1" t="s">
        <v>67</v>
      </c>
      <c r="J554" s="1">
        <v>3</v>
      </c>
      <c r="K554" s="3">
        <v>53.86</v>
      </c>
      <c r="L554" s="4">
        <v>0.03</v>
      </c>
      <c r="M554" s="3">
        <v>156.74</v>
      </c>
      <c r="N554" s="3">
        <v>-11</v>
      </c>
    </row>
    <row r="555" spans="1:14" x14ac:dyDescent="0.45">
      <c r="A555" s="1" t="s">
        <v>621</v>
      </c>
      <c r="B555" s="2">
        <v>45569</v>
      </c>
      <c r="C555" s="1" t="s">
        <v>29</v>
      </c>
      <c r="D555" s="1" t="s">
        <v>30</v>
      </c>
      <c r="E555" s="1" t="s">
        <v>23</v>
      </c>
      <c r="F555" s="1" t="s">
        <v>17</v>
      </c>
      <c r="G555" s="1" t="s">
        <v>33</v>
      </c>
      <c r="H555" s="1" t="s">
        <v>34</v>
      </c>
      <c r="I555" s="1" t="s">
        <v>35</v>
      </c>
      <c r="J555" s="1">
        <v>10</v>
      </c>
      <c r="K555" s="3">
        <v>60.04</v>
      </c>
      <c r="L555" s="4">
        <v>0.03</v>
      </c>
      <c r="M555" s="3">
        <v>582.4</v>
      </c>
      <c r="N555" s="3">
        <v>61.47</v>
      </c>
    </row>
    <row r="556" spans="1:14" x14ac:dyDescent="0.45">
      <c r="A556" s="1" t="s">
        <v>622</v>
      </c>
      <c r="B556" s="2">
        <v>45573</v>
      </c>
      <c r="C556" s="1" t="s">
        <v>48</v>
      </c>
      <c r="D556" s="1" t="s">
        <v>49</v>
      </c>
      <c r="E556" s="1" t="s">
        <v>56</v>
      </c>
      <c r="F556" s="1" t="s">
        <v>24</v>
      </c>
      <c r="G556" s="1" t="s">
        <v>74</v>
      </c>
      <c r="H556" s="1" t="s">
        <v>26</v>
      </c>
      <c r="I556" s="1" t="s">
        <v>39</v>
      </c>
      <c r="J556" s="1">
        <v>6</v>
      </c>
      <c r="K556" s="3">
        <v>357.98</v>
      </c>
      <c r="L556" s="4">
        <v>0.03</v>
      </c>
      <c r="M556" s="3">
        <v>2083.42</v>
      </c>
      <c r="N556" s="3">
        <v>511.25</v>
      </c>
    </row>
    <row r="557" spans="1:14" x14ac:dyDescent="0.45">
      <c r="A557" s="1" t="s">
        <v>623</v>
      </c>
      <c r="B557" s="2">
        <v>45587</v>
      </c>
      <c r="C557" s="1" t="s">
        <v>48</v>
      </c>
      <c r="D557" s="1" t="s">
        <v>49</v>
      </c>
      <c r="E557" s="1" t="s">
        <v>41</v>
      </c>
      <c r="F557" s="1" t="s">
        <v>17</v>
      </c>
      <c r="G557" s="1" t="s">
        <v>46</v>
      </c>
      <c r="H557" s="1" t="s">
        <v>26</v>
      </c>
      <c r="I557" s="1" t="s">
        <v>67</v>
      </c>
      <c r="J557" s="1">
        <v>3</v>
      </c>
      <c r="K557" s="3">
        <v>363.14</v>
      </c>
      <c r="L557" s="4">
        <v>0.05</v>
      </c>
      <c r="M557" s="3">
        <v>1034.94</v>
      </c>
      <c r="N557" s="3">
        <v>226.38</v>
      </c>
    </row>
    <row r="558" spans="1:14" x14ac:dyDescent="0.45">
      <c r="A558" s="1" t="s">
        <v>624</v>
      </c>
      <c r="B558" s="2">
        <v>45573</v>
      </c>
      <c r="C558" s="1" t="s">
        <v>48</v>
      </c>
      <c r="D558" s="1" t="s">
        <v>78</v>
      </c>
      <c r="E558" s="1" t="s">
        <v>95</v>
      </c>
      <c r="F558" s="1" t="s">
        <v>24</v>
      </c>
      <c r="G558" s="1" t="s">
        <v>33</v>
      </c>
      <c r="H558" s="1" t="s">
        <v>34</v>
      </c>
      <c r="I558" s="1" t="s">
        <v>42</v>
      </c>
      <c r="J558" s="1">
        <v>6</v>
      </c>
      <c r="K558" s="3">
        <v>567.16999999999996</v>
      </c>
      <c r="L558" s="4">
        <v>0.03</v>
      </c>
      <c r="M558" s="3">
        <v>3300.95</v>
      </c>
      <c r="N558" s="3">
        <v>813.28</v>
      </c>
    </row>
    <row r="559" spans="1:14" x14ac:dyDescent="0.45">
      <c r="A559" s="1" t="s">
        <v>625</v>
      </c>
      <c r="B559" s="2">
        <v>45589</v>
      </c>
      <c r="C559" s="1" t="s">
        <v>29</v>
      </c>
      <c r="D559" s="1" t="s">
        <v>44</v>
      </c>
      <c r="E559" s="1" t="s">
        <v>65</v>
      </c>
      <c r="F559" s="1" t="s">
        <v>32</v>
      </c>
      <c r="G559" s="1" t="s">
        <v>57</v>
      </c>
      <c r="H559" s="1" t="s">
        <v>51</v>
      </c>
      <c r="I559" s="1" t="s">
        <v>42</v>
      </c>
      <c r="J559" s="1">
        <v>9</v>
      </c>
      <c r="K559" s="3">
        <v>32.26</v>
      </c>
      <c r="L559" s="4">
        <v>0.1</v>
      </c>
      <c r="M559" s="3">
        <v>261.27999999999997</v>
      </c>
      <c r="N559" s="3">
        <v>25.23</v>
      </c>
    </row>
    <row r="560" spans="1:14" x14ac:dyDescent="0.45">
      <c r="A560" s="1" t="s">
        <v>626</v>
      </c>
      <c r="B560" s="2">
        <v>45617</v>
      </c>
      <c r="C560" s="1" t="s">
        <v>14</v>
      </c>
      <c r="D560" s="1" t="s">
        <v>80</v>
      </c>
      <c r="E560" s="1" t="s">
        <v>60</v>
      </c>
      <c r="F560" s="1" t="s">
        <v>24</v>
      </c>
      <c r="G560" s="1" t="s">
        <v>57</v>
      </c>
      <c r="H560" s="1" t="s">
        <v>51</v>
      </c>
      <c r="I560" s="1" t="s">
        <v>35</v>
      </c>
      <c r="J560" s="1">
        <v>1</v>
      </c>
      <c r="K560" s="3">
        <v>403.45</v>
      </c>
      <c r="L560" s="4">
        <v>7.0000000000000007E-2</v>
      </c>
      <c r="M560" s="3">
        <v>375.21</v>
      </c>
      <c r="N560" s="3">
        <v>-45.9</v>
      </c>
    </row>
    <row r="561" spans="1:14" x14ac:dyDescent="0.45">
      <c r="A561" s="1" t="s">
        <v>627</v>
      </c>
      <c r="B561" s="2">
        <v>45609</v>
      </c>
      <c r="C561" s="1" t="s">
        <v>48</v>
      </c>
      <c r="D561" s="1" t="s">
        <v>78</v>
      </c>
      <c r="E561" s="1" t="s">
        <v>53</v>
      </c>
      <c r="F561" s="1" t="s">
        <v>32</v>
      </c>
      <c r="G561" s="1" t="s">
        <v>18</v>
      </c>
      <c r="H561" s="1" t="s">
        <v>19</v>
      </c>
      <c r="I561" s="1" t="s">
        <v>35</v>
      </c>
      <c r="J561" s="1">
        <v>2</v>
      </c>
      <c r="K561" s="3">
        <v>549.55999999999995</v>
      </c>
      <c r="L561" s="4">
        <v>7.0000000000000007E-2</v>
      </c>
      <c r="M561" s="3">
        <v>1022.17</v>
      </c>
      <c r="N561" s="3">
        <v>116.28</v>
      </c>
    </row>
    <row r="562" spans="1:14" x14ac:dyDescent="0.45">
      <c r="A562" s="1" t="s">
        <v>628</v>
      </c>
      <c r="B562" s="2">
        <v>45597</v>
      </c>
      <c r="C562" s="1" t="s">
        <v>48</v>
      </c>
      <c r="D562" s="1" t="s">
        <v>78</v>
      </c>
      <c r="E562" s="1" t="s">
        <v>95</v>
      </c>
      <c r="F562" s="1" t="s">
        <v>24</v>
      </c>
      <c r="G562" s="1" t="s">
        <v>74</v>
      </c>
      <c r="H562" s="1" t="s">
        <v>26</v>
      </c>
      <c r="I562" s="1" t="s">
        <v>35</v>
      </c>
      <c r="J562" s="1">
        <v>3</v>
      </c>
      <c r="K562" s="3">
        <v>531.96</v>
      </c>
      <c r="L562" s="4">
        <v>0</v>
      </c>
      <c r="M562" s="3">
        <v>1595.87</v>
      </c>
      <c r="N562" s="3">
        <v>279.2</v>
      </c>
    </row>
    <row r="563" spans="1:14" x14ac:dyDescent="0.45">
      <c r="A563" s="1" t="s">
        <v>629</v>
      </c>
      <c r="B563" s="2">
        <v>45601</v>
      </c>
      <c r="C563" s="1" t="s">
        <v>29</v>
      </c>
      <c r="D563" s="1" t="s">
        <v>30</v>
      </c>
      <c r="E563" s="1" t="s">
        <v>63</v>
      </c>
      <c r="F563" s="1" t="s">
        <v>24</v>
      </c>
      <c r="G563" s="1" t="s">
        <v>50</v>
      </c>
      <c r="H563" s="1" t="s">
        <v>51</v>
      </c>
      <c r="I563" s="1" t="s">
        <v>39</v>
      </c>
      <c r="J563" s="1">
        <v>13</v>
      </c>
      <c r="K563" s="3">
        <v>57.79</v>
      </c>
      <c r="L563" s="4">
        <v>0.03</v>
      </c>
      <c r="M563" s="3">
        <v>728.7</v>
      </c>
      <c r="N563" s="3">
        <v>92.26</v>
      </c>
    </row>
    <row r="564" spans="1:14" x14ac:dyDescent="0.45">
      <c r="A564" s="1" t="s">
        <v>630</v>
      </c>
      <c r="B564" s="2">
        <v>45625</v>
      </c>
      <c r="C564" s="1" t="s">
        <v>14</v>
      </c>
      <c r="D564" s="1" t="s">
        <v>15</v>
      </c>
      <c r="E564" s="1" t="s">
        <v>104</v>
      </c>
      <c r="F564" s="1" t="s">
        <v>24</v>
      </c>
      <c r="G564" s="1" t="s">
        <v>25</v>
      </c>
      <c r="H564" s="1" t="s">
        <v>26</v>
      </c>
      <c r="I564" s="1" t="s">
        <v>27</v>
      </c>
      <c r="J564" s="1">
        <v>5</v>
      </c>
      <c r="K564" s="3">
        <v>109.18</v>
      </c>
      <c r="L564" s="4">
        <v>7.0000000000000007E-2</v>
      </c>
      <c r="M564" s="3">
        <v>507.68</v>
      </c>
      <c r="N564" s="3">
        <v>37.450000000000003</v>
      </c>
    </row>
    <row r="565" spans="1:14" x14ac:dyDescent="0.45">
      <c r="A565" s="1" t="s">
        <v>631</v>
      </c>
      <c r="B565" s="2">
        <v>45614</v>
      </c>
      <c r="C565" s="1" t="s">
        <v>14</v>
      </c>
      <c r="D565" s="1" t="s">
        <v>22</v>
      </c>
      <c r="E565" s="1" t="s">
        <v>81</v>
      </c>
      <c r="F565" s="1" t="s">
        <v>32</v>
      </c>
      <c r="G565" s="1" t="s">
        <v>33</v>
      </c>
      <c r="H565" s="1" t="s">
        <v>34</v>
      </c>
      <c r="I565" s="1" t="s">
        <v>39</v>
      </c>
      <c r="J565" s="1">
        <v>2</v>
      </c>
      <c r="K565" s="3">
        <v>1921.39</v>
      </c>
      <c r="L565" s="4">
        <v>0.03</v>
      </c>
      <c r="M565" s="3">
        <v>3727.5</v>
      </c>
      <c r="N565" s="3">
        <v>675.35</v>
      </c>
    </row>
    <row r="566" spans="1:14" x14ac:dyDescent="0.45">
      <c r="A566" s="1" t="s">
        <v>632</v>
      </c>
      <c r="B566" s="2">
        <v>45604</v>
      </c>
      <c r="C566" s="1" t="s">
        <v>29</v>
      </c>
      <c r="D566" s="1" t="s">
        <v>30</v>
      </c>
      <c r="E566" s="1" t="s">
        <v>81</v>
      </c>
      <c r="F566" s="1" t="s">
        <v>17</v>
      </c>
      <c r="G566" s="1" t="s">
        <v>66</v>
      </c>
      <c r="H566" s="1" t="s">
        <v>26</v>
      </c>
      <c r="I566" s="1" t="s">
        <v>39</v>
      </c>
      <c r="J566" s="1">
        <v>14</v>
      </c>
      <c r="K566" s="3">
        <v>62.8</v>
      </c>
      <c r="L566" s="4">
        <v>0</v>
      </c>
      <c r="M566" s="3">
        <v>879.22</v>
      </c>
      <c r="N566" s="3">
        <v>75.3</v>
      </c>
    </row>
    <row r="567" spans="1:14" x14ac:dyDescent="0.45">
      <c r="A567" s="1" t="s">
        <v>633</v>
      </c>
      <c r="B567" s="2">
        <v>45608</v>
      </c>
      <c r="C567" s="1" t="s">
        <v>29</v>
      </c>
      <c r="D567" s="1" t="s">
        <v>30</v>
      </c>
      <c r="E567" s="1" t="s">
        <v>95</v>
      </c>
      <c r="F567" s="1" t="s">
        <v>24</v>
      </c>
      <c r="G567" s="1" t="s">
        <v>57</v>
      </c>
      <c r="H567" s="1" t="s">
        <v>51</v>
      </c>
      <c r="I567" s="1" t="s">
        <v>39</v>
      </c>
      <c r="J567" s="1">
        <v>7</v>
      </c>
      <c r="K567" s="3">
        <v>57.69</v>
      </c>
      <c r="L567" s="4">
        <v>0</v>
      </c>
      <c r="M567" s="3">
        <v>403.86</v>
      </c>
      <c r="N567" s="3">
        <v>5.26</v>
      </c>
    </row>
    <row r="568" spans="1:14" x14ac:dyDescent="0.45">
      <c r="A568" s="1" t="s">
        <v>634</v>
      </c>
      <c r="B568" s="2">
        <v>45618</v>
      </c>
      <c r="C568" s="1" t="s">
        <v>48</v>
      </c>
      <c r="D568" s="1" t="s">
        <v>78</v>
      </c>
      <c r="E568" s="1" t="s">
        <v>89</v>
      </c>
      <c r="F568" s="1" t="s">
        <v>24</v>
      </c>
      <c r="G568" s="1" t="s">
        <v>66</v>
      </c>
      <c r="H568" s="1" t="s">
        <v>26</v>
      </c>
      <c r="I568" s="1" t="s">
        <v>35</v>
      </c>
      <c r="J568" s="1">
        <v>2</v>
      </c>
      <c r="K568" s="3">
        <v>574.74</v>
      </c>
      <c r="L568" s="4">
        <v>0</v>
      </c>
      <c r="M568" s="3">
        <v>1149.49</v>
      </c>
      <c r="N568" s="3">
        <v>223.69</v>
      </c>
    </row>
    <row r="569" spans="1:14" x14ac:dyDescent="0.45">
      <c r="A569" s="1" t="s">
        <v>635</v>
      </c>
      <c r="B569" s="2">
        <v>45597</v>
      </c>
      <c r="C569" s="1" t="s">
        <v>14</v>
      </c>
      <c r="D569" s="1" t="s">
        <v>80</v>
      </c>
      <c r="E569" s="1" t="s">
        <v>106</v>
      </c>
      <c r="F569" s="1" t="s">
        <v>17</v>
      </c>
      <c r="G569" s="1" t="s">
        <v>33</v>
      </c>
      <c r="H569" s="1" t="s">
        <v>34</v>
      </c>
      <c r="I569" s="1" t="s">
        <v>42</v>
      </c>
      <c r="J569" s="1">
        <v>7</v>
      </c>
      <c r="K569" s="3">
        <v>496.15</v>
      </c>
      <c r="L569" s="4">
        <v>0.1</v>
      </c>
      <c r="M569" s="3">
        <v>3125.77</v>
      </c>
      <c r="N569" s="3">
        <v>585.41999999999996</v>
      </c>
    </row>
    <row r="570" spans="1:14" x14ac:dyDescent="0.45">
      <c r="A570" s="1" t="s">
        <v>636</v>
      </c>
      <c r="B570" s="2">
        <v>45621</v>
      </c>
      <c r="C570" s="1" t="s">
        <v>48</v>
      </c>
      <c r="D570" s="1" t="s">
        <v>78</v>
      </c>
      <c r="E570" s="1" t="s">
        <v>69</v>
      </c>
      <c r="F570" s="1" t="s">
        <v>32</v>
      </c>
      <c r="G570" s="1" t="s">
        <v>57</v>
      </c>
      <c r="H570" s="1" t="s">
        <v>51</v>
      </c>
      <c r="I570" s="1" t="s">
        <v>39</v>
      </c>
      <c r="J570" s="1">
        <v>2</v>
      </c>
      <c r="K570" s="3">
        <v>543.41</v>
      </c>
      <c r="L570" s="4">
        <v>0</v>
      </c>
      <c r="M570" s="3">
        <v>1086.82</v>
      </c>
      <c r="N570" s="3">
        <v>139.83000000000001</v>
      </c>
    </row>
    <row r="571" spans="1:14" x14ac:dyDescent="0.45">
      <c r="A571" s="1" t="s">
        <v>637</v>
      </c>
      <c r="B571" s="2">
        <v>45615</v>
      </c>
      <c r="C571" s="1" t="s">
        <v>14</v>
      </c>
      <c r="D571" s="1" t="s">
        <v>15</v>
      </c>
      <c r="E571" s="1" t="s">
        <v>92</v>
      </c>
      <c r="F571" s="1" t="s">
        <v>32</v>
      </c>
      <c r="G571" s="1" t="s">
        <v>50</v>
      </c>
      <c r="H571" s="1" t="s">
        <v>51</v>
      </c>
      <c r="I571" s="1" t="s">
        <v>42</v>
      </c>
      <c r="J571" s="1">
        <v>11</v>
      </c>
      <c r="K571" s="3">
        <v>112.01</v>
      </c>
      <c r="L571" s="4">
        <v>0.1</v>
      </c>
      <c r="M571" s="3">
        <v>1108.8599999999999</v>
      </c>
      <c r="N571" s="3">
        <v>288.39</v>
      </c>
    </row>
    <row r="572" spans="1:14" x14ac:dyDescent="0.45">
      <c r="A572" s="1" t="s">
        <v>638</v>
      </c>
      <c r="B572" s="2">
        <v>45611</v>
      </c>
      <c r="C572" s="1" t="s">
        <v>48</v>
      </c>
      <c r="D572" s="1" t="s">
        <v>91</v>
      </c>
      <c r="E572" s="1" t="s">
        <v>89</v>
      </c>
      <c r="F572" s="1" t="s">
        <v>32</v>
      </c>
      <c r="G572" s="1" t="s">
        <v>66</v>
      </c>
      <c r="H572" s="1" t="s">
        <v>26</v>
      </c>
      <c r="I572" s="1" t="s">
        <v>42</v>
      </c>
      <c r="J572" s="1">
        <v>4</v>
      </c>
      <c r="K572" s="3">
        <v>709.64</v>
      </c>
      <c r="L572" s="4">
        <v>0</v>
      </c>
      <c r="M572" s="3">
        <v>2838.55</v>
      </c>
      <c r="N572" s="3">
        <v>600.35</v>
      </c>
    </row>
    <row r="573" spans="1:14" x14ac:dyDescent="0.45">
      <c r="A573" s="1" t="s">
        <v>639</v>
      </c>
      <c r="B573" s="2">
        <v>45625</v>
      </c>
      <c r="C573" s="1" t="s">
        <v>48</v>
      </c>
      <c r="D573" s="1" t="s">
        <v>91</v>
      </c>
      <c r="E573" s="1" t="s">
        <v>92</v>
      </c>
      <c r="F573" s="1" t="s">
        <v>32</v>
      </c>
      <c r="G573" s="1" t="s">
        <v>66</v>
      </c>
      <c r="H573" s="1" t="s">
        <v>26</v>
      </c>
      <c r="I573" s="1" t="s">
        <v>27</v>
      </c>
      <c r="J573" s="1">
        <v>8</v>
      </c>
      <c r="K573" s="3">
        <v>767.17</v>
      </c>
      <c r="L573" s="4">
        <v>0</v>
      </c>
      <c r="M573" s="3">
        <v>6137.39</v>
      </c>
      <c r="N573" s="3">
        <v>973.78</v>
      </c>
    </row>
    <row r="574" spans="1:14" x14ac:dyDescent="0.45">
      <c r="A574" s="1" t="s">
        <v>640</v>
      </c>
      <c r="B574" s="2">
        <v>45614</v>
      </c>
      <c r="C574" s="1" t="s">
        <v>14</v>
      </c>
      <c r="D574" s="1" t="s">
        <v>80</v>
      </c>
      <c r="E574" s="1" t="s">
        <v>41</v>
      </c>
      <c r="F574" s="1" t="s">
        <v>24</v>
      </c>
      <c r="G574" s="1" t="s">
        <v>61</v>
      </c>
      <c r="H574" s="1" t="s">
        <v>51</v>
      </c>
      <c r="I574" s="1" t="s">
        <v>42</v>
      </c>
      <c r="J574" s="1">
        <v>5</v>
      </c>
      <c r="K574" s="3">
        <v>476.75</v>
      </c>
      <c r="L574" s="4">
        <v>0.05</v>
      </c>
      <c r="M574" s="3">
        <v>2264.5700000000002</v>
      </c>
      <c r="N574" s="3">
        <v>577.73</v>
      </c>
    </row>
    <row r="575" spans="1:14" x14ac:dyDescent="0.45">
      <c r="A575" s="1" t="s">
        <v>641</v>
      </c>
      <c r="B575" s="2">
        <v>45601</v>
      </c>
      <c r="C575" s="1" t="s">
        <v>14</v>
      </c>
      <c r="D575" s="1" t="s">
        <v>80</v>
      </c>
      <c r="E575" s="1" t="s">
        <v>60</v>
      </c>
      <c r="F575" s="1" t="s">
        <v>17</v>
      </c>
      <c r="G575" s="1" t="s">
        <v>54</v>
      </c>
      <c r="H575" s="1" t="s">
        <v>51</v>
      </c>
      <c r="I575" s="1" t="s">
        <v>20</v>
      </c>
      <c r="J575" s="1">
        <v>8</v>
      </c>
      <c r="K575" s="3">
        <v>563.12</v>
      </c>
      <c r="L575" s="4">
        <v>7.0000000000000007E-2</v>
      </c>
      <c r="M575" s="3">
        <v>4189.6400000000003</v>
      </c>
      <c r="N575" s="3">
        <v>718.68</v>
      </c>
    </row>
    <row r="576" spans="1:14" x14ac:dyDescent="0.45">
      <c r="A576" s="1" t="s">
        <v>642</v>
      </c>
      <c r="B576" s="2">
        <v>45603</v>
      </c>
      <c r="C576" s="1" t="s">
        <v>14</v>
      </c>
      <c r="D576" s="1" t="s">
        <v>15</v>
      </c>
      <c r="E576" s="1" t="s">
        <v>69</v>
      </c>
      <c r="F576" s="1" t="s">
        <v>24</v>
      </c>
      <c r="G576" s="1" t="s">
        <v>33</v>
      </c>
      <c r="H576" s="1" t="s">
        <v>34</v>
      </c>
      <c r="I576" s="1" t="s">
        <v>27</v>
      </c>
      <c r="J576" s="1">
        <v>17</v>
      </c>
      <c r="K576" s="3">
        <v>135.41999999999999</v>
      </c>
      <c r="L576" s="4">
        <v>7.0000000000000007E-2</v>
      </c>
      <c r="M576" s="3">
        <v>2141.0500000000002</v>
      </c>
      <c r="N576" s="3">
        <v>459.85</v>
      </c>
    </row>
    <row r="577" spans="1:14" x14ac:dyDescent="0.45">
      <c r="A577" s="1" t="s">
        <v>643</v>
      </c>
      <c r="B577" s="2">
        <v>45621</v>
      </c>
      <c r="C577" s="1" t="s">
        <v>14</v>
      </c>
      <c r="D577" s="1" t="s">
        <v>22</v>
      </c>
      <c r="E577" s="1" t="s">
        <v>65</v>
      </c>
      <c r="F577" s="1" t="s">
        <v>17</v>
      </c>
      <c r="G577" s="1" t="s">
        <v>54</v>
      </c>
      <c r="H577" s="1" t="s">
        <v>51</v>
      </c>
      <c r="I577" s="1" t="s">
        <v>39</v>
      </c>
      <c r="J577" s="1">
        <v>3</v>
      </c>
      <c r="K577" s="3">
        <v>2041.98</v>
      </c>
      <c r="L577" s="4">
        <v>0</v>
      </c>
      <c r="M577" s="3">
        <v>6125.94</v>
      </c>
      <c r="N577" s="3">
        <v>1271.29</v>
      </c>
    </row>
    <row r="578" spans="1:14" x14ac:dyDescent="0.45">
      <c r="A578" s="1" t="s">
        <v>644</v>
      </c>
      <c r="B578" s="2">
        <v>45625</v>
      </c>
      <c r="C578" s="1" t="s">
        <v>48</v>
      </c>
      <c r="D578" s="1" t="s">
        <v>78</v>
      </c>
      <c r="E578" s="1" t="s">
        <v>41</v>
      </c>
      <c r="F578" s="1" t="s">
        <v>17</v>
      </c>
      <c r="G578" s="1" t="s">
        <v>25</v>
      </c>
      <c r="H578" s="1" t="s">
        <v>26</v>
      </c>
      <c r="I578" s="1" t="s">
        <v>39</v>
      </c>
      <c r="J578" s="1">
        <v>6</v>
      </c>
      <c r="K578" s="3">
        <v>611.21</v>
      </c>
      <c r="L578" s="4">
        <v>0.1</v>
      </c>
      <c r="M578" s="3">
        <v>3300.54</v>
      </c>
      <c r="N578" s="3">
        <v>766.33</v>
      </c>
    </row>
    <row r="579" spans="1:14" x14ac:dyDescent="0.45">
      <c r="A579" s="1" t="s">
        <v>645</v>
      </c>
      <c r="B579" s="2">
        <v>45643</v>
      </c>
      <c r="C579" s="1" t="s">
        <v>29</v>
      </c>
      <c r="D579" s="1" t="s">
        <v>30</v>
      </c>
      <c r="E579" s="1" t="s">
        <v>87</v>
      </c>
      <c r="F579" s="1" t="s">
        <v>17</v>
      </c>
      <c r="G579" s="1" t="s">
        <v>54</v>
      </c>
      <c r="H579" s="1" t="s">
        <v>51</v>
      </c>
      <c r="I579" s="1" t="s">
        <v>35</v>
      </c>
      <c r="J579" s="1">
        <v>4</v>
      </c>
      <c r="K579" s="3">
        <v>68.81</v>
      </c>
      <c r="L579" s="4">
        <v>0</v>
      </c>
      <c r="M579" s="3">
        <v>275.24</v>
      </c>
      <c r="N579" s="3">
        <v>33.39</v>
      </c>
    </row>
    <row r="580" spans="1:14" x14ac:dyDescent="0.45">
      <c r="A580" s="1" t="s">
        <v>646</v>
      </c>
      <c r="B580" s="2">
        <v>45628</v>
      </c>
      <c r="C580" s="1" t="s">
        <v>48</v>
      </c>
      <c r="D580" s="1" t="s">
        <v>49</v>
      </c>
      <c r="E580" s="1" t="s">
        <v>16</v>
      </c>
      <c r="F580" s="1" t="s">
        <v>24</v>
      </c>
      <c r="G580" s="1" t="s">
        <v>57</v>
      </c>
      <c r="H580" s="1" t="s">
        <v>51</v>
      </c>
      <c r="I580" s="1" t="s">
        <v>27</v>
      </c>
      <c r="J580" s="1">
        <v>3</v>
      </c>
      <c r="K580" s="3">
        <v>355.92</v>
      </c>
      <c r="L580" s="4">
        <v>0.1</v>
      </c>
      <c r="M580" s="3">
        <v>960.98</v>
      </c>
      <c r="N580" s="3">
        <v>130.72999999999999</v>
      </c>
    </row>
    <row r="581" spans="1:14" x14ac:dyDescent="0.45">
      <c r="A581" s="1" t="s">
        <v>647</v>
      </c>
      <c r="B581" s="2">
        <v>45657</v>
      </c>
      <c r="C581" s="1" t="s">
        <v>29</v>
      </c>
      <c r="D581" s="1" t="s">
        <v>30</v>
      </c>
      <c r="E581" s="1" t="s">
        <v>106</v>
      </c>
      <c r="F581" s="1" t="s">
        <v>17</v>
      </c>
      <c r="G581" s="1" t="s">
        <v>54</v>
      </c>
      <c r="H581" s="1" t="s">
        <v>51</v>
      </c>
      <c r="I581" s="1" t="s">
        <v>27</v>
      </c>
      <c r="J581" s="1">
        <v>11</v>
      </c>
      <c r="K581" s="3">
        <v>71.78</v>
      </c>
      <c r="L581" s="4">
        <v>0.05</v>
      </c>
      <c r="M581" s="3">
        <v>750.14</v>
      </c>
      <c r="N581" s="3">
        <v>116.45</v>
      </c>
    </row>
    <row r="582" spans="1:14" x14ac:dyDescent="0.45">
      <c r="A582" s="1" t="s">
        <v>648</v>
      </c>
      <c r="B582" s="2">
        <v>45657</v>
      </c>
      <c r="C582" s="1" t="s">
        <v>29</v>
      </c>
      <c r="D582" s="1" t="s">
        <v>37</v>
      </c>
      <c r="E582" s="1" t="s">
        <v>31</v>
      </c>
      <c r="F582" s="1" t="s">
        <v>17</v>
      </c>
      <c r="G582" s="1" t="s">
        <v>57</v>
      </c>
      <c r="H582" s="1" t="s">
        <v>51</v>
      </c>
      <c r="I582" s="1" t="s">
        <v>20</v>
      </c>
      <c r="J582" s="1">
        <v>3</v>
      </c>
      <c r="K582" s="3">
        <v>98.75</v>
      </c>
      <c r="L582" s="4">
        <v>0.1</v>
      </c>
      <c r="M582" s="3">
        <v>266.63</v>
      </c>
      <c r="N582" s="3">
        <v>-0.19</v>
      </c>
    </row>
    <row r="583" spans="1:14" x14ac:dyDescent="0.45">
      <c r="A583" s="1" t="s">
        <v>649</v>
      </c>
      <c r="B583" s="2">
        <v>45652</v>
      </c>
      <c r="C583" s="1" t="s">
        <v>29</v>
      </c>
      <c r="D583" s="1" t="s">
        <v>44</v>
      </c>
      <c r="E583" s="1" t="s">
        <v>106</v>
      </c>
      <c r="F583" s="1" t="s">
        <v>24</v>
      </c>
      <c r="G583" s="1" t="s">
        <v>61</v>
      </c>
      <c r="H583" s="1" t="s">
        <v>51</v>
      </c>
      <c r="I583" s="1" t="s">
        <v>20</v>
      </c>
      <c r="J583" s="1">
        <v>8</v>
      </c>
      <c r="K583" s="3">
        <v>38.44</v>
      </c>
      <c r="L583" s="4">
        <v>7.0000000000000007E-2</v>
      </c>
      <c r="M583" s="3">
        <v>286.01</v>
      </c>
      <c r="N583" s="3">
        <v>27.1</v>
      </c>
    </row>
    <row r="584" spans="1:14" x14ac:dyDescent="0.45">
      <c r="A584" s="1" t="s">
        <v>650</v>
      </c>
      <c r="B584" s="2">
        <v>45649</v>
      </c>
      <c r="C584" s="1" t="s">
        <v>48</v>
      </c>
      <c r="D584" s="1" t="s">
        <v>49</v>
      </c>
      <c r="E584" s="1" t="s">
        <v>95</v>
      </c>
      <c r="F584" s="1" t="s">
        <v>32</v>
      </c>
      <c r="G584" s="1" t="s">
        <v>57</v>
      </c>
      <c r="H584" s="1" t="s">
        <v>51</v>
      </c>
      <c r="I584" s="1" t="s">
        <v>27</v>
      </c>
      <c r="J584" s="1">
        <v>4</v>
      </c>
      <c r="K584" s="3">
        <v>356.58</v>
      </c>
      <c r="L584" s="4">
        <v>0</v>
      </c>
      <c r="M584" s="3">
        <v>1426.33</v>
      </c>
      <c r="N584" s="3">
        <v>236.84</v>
      </c>
    </row>
    <row r="585" spans="1:14" x14ac:dyDescent="0.45">
      <c r="A585" s="1" t="s">
        <v>651</v>
      </c>
      <c r="B585" s="2">
        <v>45646</v>
      </c>
      <c r="C585" s="1" t="s">
        <v>29</v>
      </c>
      <c r="D585" s="1" t="s">
        <v>30</v>
      </c>
      <c r="E585" s="1" t="s">
        <v>38</v>
      </c>
      <c r="F585" s="1" t="s">
        <v>17</v>
      </c>
      <c r="G585" s="1" t="s">
        <v>33</v>
      </c>
      <c r="H585" s="1" t="s">
        <v>34</v>
      </c>
      <c r="I585" s="1" t="s">
        <v>42</v>
      </c>
      <c r="J585" s="1">
        <v>13</v>
      </c>
      <c r="K585" s="3">
        <v>68.069999999999993</v>
      </c>
      <c r="L585" s="4">
        <v>0.05</v>
      </c>
      <c r="M585" s="3">
        <v>840.72</v>
      </c>
      <c r="N585" s="3">
        <v>79.069999999999993</v>
      </c>
    </row>
    <row r="586" spans="1:14" x14ac:dyDescent="0.45">
      <c r="A586" s="1" t="s">
        <v>652</v>
      </c>
      <c r="B586" s="2">
        <v>45646</v>
      </c>
      <c r="C586" s="1" t="s">
        <v>14</v>
      </c>
      <c r="D586" s="1" t="s">
        <v>22</v>
      </c>
      <c r="E586" s="1" t="s">
        <v>73</v>
      </c>
      <c r="F586" s="1" t="s">
        <v>17</v>
      </c>
      <c r="G586" s="1" t="s">
        <v>54</v>
      </c>
      <c r="H586" s="1" t="s">
        <v>51</v>
      </c>
      <c r="I586" s="1" t="s">
        <v>20</v>
      </c>
      <c r="J586" s="1">
        <v>1</v>
      </c>
      <c r="K586" s="3">
        <v>2013.24</v>
      </c>
      <c r="L586" s="4">
        <v>0</v>
      </c>
      <c r="M586" s="3">
        <v>2013.24</v>
      </c>
      <c r="N586" s="3">
        <v>242.63</v>
      </c>
    </row>
    <row r="587" spans="1:14" x14ac:dyDescent="0.45">
      <c r="A587" s="1" t="s">
        <v>653</v>
      </c>
      <c r="B587" s="2">
        <v>45645</v>
      </c>
      <c r="C587" s="1" t="s">
        <v>48</v>
      </c>
      <c r="D587" s="1" t="s">
        <v>78</v>
      </c>
      <c r="E587" s="1" t="s">
        <v>31</v>
      </c>
      <c r="F587" s="1" t="s">
        <v>17</v>
      </c>
      <c r="G587" s="1" t="s">
        <v>46</v>
      </c>
      <c r="H587" s="1" t="s">
        <v>26</v>
      </c>
      <c r="I587" s="1" t="s">
        <v>42</v>
      </c>
      <c r="J587" s="1">
        <v>6</v>
      </c>
      <c r="K587" s="3">
        <v>549.14</v>
      </c>
      <c r="L587" s="4">
        <v>0</v>
      </c>
      <c r="M587" s="3">
        <v>3294.84</v>
      </c>
      <c r="N587" s="3">
        <v>686.45</v>
      </c>
    </row>
    <row r="588" spans="1:14" x14ac:dyDescent="0.45">
      <c r="A588" s="1" t="s">
        <v>654</v>
      </c>
      <c r="B588" s="2">
        <v>45646</v>
      </c>
      <c r="C588" s="1" t="s">
        <v>14</v>
      </c>
      <c r="D588" s="1" t="s">
        <v>80</v>
      </c>
      <c r="E588" s="1" t="s">
        <v>41</v>
      </c>
      <c r="F588" s="1" t="s">
        <v>32</v>
      </c>
      <c r="G588" s="1" t="s">
        <v>25</v>
      </c>
      <c r="H588" s="1" t="s">
        <v>26</v>
      </c>
      <c r="I588" s="1" t="s">
        <v>67</v>
      </c>
      <c r="J588" s="1">
        <v>8</v>
      </c>
      <c r="K588" s="3">
        <v>449.39</v>
      </c>
      <c r="L588" s="4">
        <v>0.05</v>
      </c>
      <c r="M588" s="3">
        <v>3415.4</v>
      </c>
      <c r="N588" s="3">
        <v>527.62</v>
      </c>
    </row>
    <row r="589" spans="1:14" x14ac:dyDescent="0.45">
      <c r="A589" s="1" t="s">
        <v>655</v>
      </c>
      <c r="B589" s="2">
        <v>45653</v>
      </c>
      <c r="C589" s="1" t="s">
        <v>14</v>
      </c>
      <c r="D589" s="1" t="s">
        <v>80</v>
      </c>
      <c r="E589" s="1" t="s">
        <v>56</v>
      </c>
      <c r="F589" s="1" t="s">
        <v>32</v>
      </c>
      <c r="G589" s="1" t="s">
        <v>46</v>
      </c>
      <c r="H589" s="1" t="s">
        <v>26</v>
      </c>
      <c r="I589" s="1" t="s">
        <v>42</v>
      </c>
      <c r="J589" s="1">
        <v>4</v>
      </c>
      <c r="K589" s="3">
        <v>459.34</v>
      </c>
      <c r="L589" s="4">
        <v>0.03</v>
      </c>
      <c r="M589" s="3">
        <v>1782.22</v>
      </c>
      <c r="N589" s="3">
        <v>313.60000000000002</v>
      </c>
    </row>
    <row r="590" spans="1:14" x14ac:dyDescent="0.45">
      <c r="A590" s="1" t="s">
        <v>656</v>
      </c>
      <c r="B590" s="2">
        <v>45635</v>
      </c>
      <c r="C590" s="1" t="s">
        <v>14</v>
      </c>
      <c r="D590" s="1" t="s">
        <v>80</v>
      </c>
      <c r="E590" s="1" t="s">
        <v>63</v>
      </c>
      <c r="F590" s="1" t="s">
        <v>32</v>
      </c>
      <c r="G590" s="1" t="s">
        <v>33</v>
      </c>
      <c r="H590" s="1" t="s">
        <v>34</v>
      </c>
      <c r="I590" s="1" t="s">
        <v>39</v>
      </c>
      <c r="J590" s="1">
        <v>7</v>
      </c>
      <c r="K590" s="3">
        <v>505.98</v>
      </c>
      <c r="L590" s="4">
        <v>0.03</v>
      </c>
      <c r="M590" s="3">
        <v>3435.57</v>
      </c>
      <c r="N590" s="3">
        <v>627.44000000000005</v>
      </c>
    </row>
    <row r="591" spans="1:14" x14ac:dyDescent="0.45">
      <c r="A591" s="1" t="s">
        <v>657</v>
      </c>
      <c r="B591" s="2">
        <v>45653</v>
      </c>
      <c r="C591" s="1" t="s">
        <v>48</v>
      </c>
      <c r="D591" s="1" t="s">
        <v>78</v>
      </c>
      <c r="E591" s="1" t="s">
        <v>87</v>
      </c>
      <c r="F591" s="1" t="s">
        <v>24</v>
      </c>
      <c r="G591" s="1" t="s">
        <v>33</v>
      </c>
      <c r="H591" s="1" t="s">
        <v>34</v>
      </c>
      <c r="I591" s="1" t="s">
        <v>20</v>
      </c>
      <c r="J591" s="1">
        <v>2</v>
      </c>
      <c r="K591" s="3">
        <v>662.26</v>
      </c>
      <c r="L591" s="4">
        <v>7.0000000000000007E-2</v>
      </c>
      <c r="M591" s="3">
        <v>1231.8</v>
      </c>
      <c r="N591" s="3">
        <v>148.78</v>
      </c>
    </row>
    <row r="592" spans="1:14" x14ac:dyDescent="0.45">
      <c r="A592" s="1" t="s">
        <v>658</v>
      </c>
      <c r="B592" s="2">
        <v>45653</v>
      </c>
      <c r="C592" s="1" t="s">
        <v>29</v>
      </c>
      <c r="D592" s="1" t="s">
        <v>44</v>
      </c>
      <c r="E592" s="1" t="s">
        <v>106</v>
      </c>
      <c r="F592" s="1" t="s">
        <v>24</v>
      </c>
      <c r="G592" s="1" t="s">
        <v>18</v>
      </c>
      <c r="H592" s="1" t="s">
        <v>19</v>
      </c>
      <c r="I592" s="1" t="s">
        <v>39</v>
      </c>
      <c r="J592" s="1">
        <v>9</v>
      </c>
      <c r="K592" s="3">
        <v>36.96</v>
      </c>
      <c r="L592" s="4">
        <v>0.05</v>
      </c>
      <c r="M592" s="3">
        <v>315.99</v>
      </c>
      <c r="N592" s="3">
        <v>9.2899999999999991</v>
      </c>
    </row>
    <row r="593" spans="1:14" x14ac:dyDescent="0.45">
      <c r="A593" s="1" t="s">
        <v>659</v>
      </c>
      <c r="B593" s="2">
        <v>45649</v>
      </c>
      <c r="C593" s="1" t="s">
        <v>14</v>
      </c>
      <c r="D593" s="1" t="s">
        <v>15</v>
      </c>
      <c r="E593" s="1" t="s">
        <v>31</v>
      </c>
      <c r="F593" s="1" t="s">
        <v>17</v>
      </c>
      <c r="G593" s="1" t="s">
        <v>54</v>
      </c>
      <c r="H593" s="1" t="s">
        <v>51</v>
      </c>
      <c r="I593" s="1" t="s">
        <v>27</v>
      </c>
      <c r="J593" s="1">
        <v>17</v>
      </c>
      <c r="K593" s="3">
        <v>141.62</v>
      </c>
      <c r="L593" s="4">
        <v>7.0000000000000007E-2</v>
      </c>
      <c r="M593" s="3">
        <v>2239.08</v>
      </c>
      <c r="N593" s="3">
        <v>502.86</v>
      </c>
    </row>
    <row r="594" spans="1:14" x14ac:dyDescent="0.45">
      <c r="A594" s="1" t="s">
        <v>660</v>
      </c>
      <c r="B594" s="2">
        <v>45639</v>
      </c>
      <c r="C594" s="1" t="s">
        <v>48</v>
      </c>
      <c r="D594" s="1" t="s">
        <v>49</v>
      </c>
      <c r="E594" s="1" t="s">
        <v>69</v>
      </c>
      <c r="F594" s="1" t="s">
        <v>17</v>
      </c>
      <c r="G594" s="1" t="s">
        <v>57</v>
      </c>
      <c r="H594" s="1" t="s">
        <v>51</v>
      </c>
      <c r="I594" s="1" t="s">
        <v>27</v>
      </c>
      <c r="J594" s="1">
        <v>1</v>
      </c>
      <c r="K594" s="3">
        <v>386.9</v>
      </c>
      <c r="L594" s="4">
        <v>0.05</v>
      </c>
      <c r="M594" s="3">
        <v>367.56</v>
      </c>
      <c r="N594" s="3">
        <v>64.67</v>
      </c>
    </row>
    <row r="595" spans="1:14" x14ac:dyDescent="0.45">
      <c r="A595" s="1" t="s">
        <v>661</v>
      </c>
      <c r="B595" s="2">
        <v>45628</v>
      </c>
      <c r="C595" s="1" t="s">
        <v>14</v>
      </c>
      <c r="D595" s="1" t="s">
        <v>15</v>
      </c>
      <c r="E595" s="1" t="s">
        <v>106</v>
      </c>
      <c r="F595" s="1" t="s">
        <v>32</v>
      </c>
      <c r="G595" s="1" t="s">
        <v>66</v>
      </c>
      <c r="H595" s="1" t="s">
        <v>26</v>
      </c>
      <c r="I595" s="1" t="s">
        <v>42</v>
      </c>
      <c r="J595" s="1">
        <v>11</v>
      </c>
      <c r="K595" s="3">
        <v>119.67</v>
      </c>
      <c r="L595" s="4">
        <v>0.05</v>
      </c>
      <c r="M595" s="3">
        <v>1250.58</v>
      </c>
      <c r="N595" s="3">
        <v>310.77</v>
      </c>
    </row>
    <row r="596" spans="1:14" x14ac:dyDescent="0.45">
      <c r="A596" s="1" t="s">
        <v>662</v>
      </c>
      <c r="B596" s="2">
        <v>45673</v>
      </c>
      <c r="C596" s="1" t="s">
        <v>29</v>
      </c>
      <c r="D596" s="1" t="s">
        <v>30</v>
      </c>
      <c r="E596" s="1" t="s">
        <v>45</v>
      </c>
      <c r="F596" s="1" t="s">
        <v>32</v>
      </c>
      <c r="G596" s="1" t="s">
        <v>61</v>
      </c>
      <c r="H596" s="1" t="s">
        <v>51</v>
      </c>
      <c r="I596" s="1" t="s">
        <v>42</v>
      </c>
      <c r="J596" s="1">
        <v>16</v>
      </c>
      <c r="K596" s="3">
        <v>53.32</v>
      </c>
      <c r="L596" s="4">
        <v>0</v>
      </c>
      <c r="M596" s="3">
        <v>853.17</v>
      </c>
      <c r="N596" s="3">
        <v>154.91</v>
      </c>
    </row>
    <row r="597" spans="1:14" x14ac:dyDescent="0.45">
      <c r="A597" s="1" t="s">
        <v>663</v>
      </c>
      <c r="B597" s="2">
        <v>45660</v>
      </c>
      <c r="C597" s="1" t="s">
        <v>48</v>
      </c>
      <c r="D597" s="1" t="s">
        <v>49</v>
      </c>
      <c r="E597" s="1" t="s">
        <v>31</v>
      </c>
      <c r="F597" s="1" t="s">
        <v>32</v>
      </c>
      <c r="G597" s="1" t="s">
        <v>18</v>
      </c>
      <c r="H597" s="1" t="s">
        <v>19</v>
      </c>
      <c r="I597" s="1" t="s">
        <v>42</v>
      </c>
      <c r="J597" s="1">
        <v>4</v>
      </c>
      <c r="K597" s="3">
        <v>327.85</v>
      </c>
      <c r="L597" s="4">
        <v>0</v>
      </c>
      <c r="M597" s="3">
        <v>1311.4</v>
      </c>
      <c r="N597" s="3">
        <v>271.89999999999998</v>
      </c>
    </row>
    <row r="598" spans="1:14" x14ac:dyDescent="0.45">
      <c r="A598" s="1" t="s">
        <v>664</v>
      </c>
      <c r="B598" s="2">
        <v>45685</v>
      </c>
      <c r="C598" s="1" t="s">
        <v>48</v>
      </c>
      <c r="D598" s="1" t="s">
        <v>78</v>
      </c>
      <c r="E598" s="1" t="s">
        <v>38</v>
      </c>
      <c r="F598" s="1" t="s">
        <v>17</v>
      </c>
      <c r="G598" s="1" t="s">
        <v>46</v>
      </c>
      <c r="H598" s="1" t="s">
        <v>26</v>
      </c>
      <c r="I598" s="1" t="s">
        <v>39</v>
      </c>
      <c r="J598" s="1">
        <v>6</v>
      </c>
      <c r="K598" s="3">
        <v>451.28</v>
      </c>
      <c r="L598" s="4">
        <v>0</v>
      </c>
      <c r="M598" s="3">
        <v>2707.67</v>
      </c>
      <c r="N598" s="3">
        <v>558.39</v>
      </c>
    </row>
    <row r="599" spans="1:14" x14ac:dyDescent="0.45">
      <c r="A599" s="1" t="s">
        <v>665</v>
      </c>
      <c r="B599" s="2">
        <v>45686</v>
      </c>
      <c r="C599" s="1" t="s">
        <v>48</v>
      </c>
      <c r="D599" s="1" t="s">
        <v>49</v>
      </c>
      <c r="E599" s="1" t="s">
        <v>95</v>
      </c>
      <c r="F599" s="1" t="s">
        <v>17</v>
      </c>
      <c r="G599" s="1" t="s">
        <v>50</v>
      </c>
      <c r="H599" s="1" t="s">
        <v>51</v>
      </c>
      <c r="I599" s="1" t="s">
        <v>35</v>
      </c>
      <c r="J599" s="1">
        <v>4</v>
      </c>
      <c r="K599" s="3">
        <v>320.18</v>
      </c>
      <c r="L599" s="4">
        <v>0.1</v>
      </c>
      <c r="M599" s="3">
        <v>1152.6500000000001</v>
      </c>
      <c r="N599" s="3">
        <v>147.16999999999999</v>
      </c>
    </row>
    <row r="600" spans="1:14" x14ac:dyDescent="0.45">
      <c r="A600" s="1" t="s">
        <v>666</v>
      </c>
      <c r="B600" s="2">
        <v>45684</v>
      </c>
      <c r="C600" s="1" t="s">
        <v>48</v>
      </c>
      <c r="D600" s="1" t="s">
        <v>49</v>
      </c>
      <c r="E600" s="1" t="s">
        <v>53</v>
      </c>
      <c r="F600" s="1" t="s">
        <v>32</v>
      </c>
      <c r="G600" s="1" t="s">
        <v>25</v>
      </c>
      <c r="H600" s="1" t="s">
        <v>26</v>
      </c>
      <c r="I600" s="1" t="s">
        <v>35</v>
      </c>
      <c r="J600" s="1">
        <v>7</v>
      </c>
      <c r="K600" s="3">
        <v>314.7</v>
      </c>
      <c r="L600" s="4">
        <v>0</v>
      </c>
      <c r="M600" s="3">
        <v>2202.9299999999998</v>
      </c>
      <c r="N600" s="3">
        <v>437.47</v>
      </c>
    </row>
    <row r="601" spans="1:14" x14ac:dyDescent="0.45">
      <c r="A601" s="1" t="s">
        <v>667</v>
      </c>
      <c r="B601" s="2">
        <v>45663</v>
      </c>
      <c r="C601" s="1" t="s">
        <v>48</v>
      </c>
      <c r="D601" s="1" t="s">
        <v>49</v>
      </c>
      <c r="E601" s="1" t="s">
        <v>73</v>
      </c>
      <c r="F601" s="1" t="s">
        <v>24</v>
      </c>
      <c r="G601" s="1" t="s">
        <v>57</v>
      </c>
      <c r="H601" s="1" t="s">
        <v>51</v>
      </c>
      <c r="I601" s="1" t="s">
        <v>67</v>
      </c>
      <c r="J601" s="1">
        <v>5</v>
      </c>
      <c r="K601" s="3">
        <v>297.52</v>
      </c>
      <c r="L601" s="4">
        <v>0.03</v>
      </c>
      <c r="M601" s="3">
        <v>1442.97</v>
      </c>
      <c r="N601" s="3">
        <v>258.76</v>
      </c>
    </row>
    <row r="602" spans="1:14" x14ac:dyDescent="0.45">
      <c r="A602" s="1" t="s">
        <v>668</v>
      </c>
      <c r="B602" s="2">
        <v>45665</v>
      </c>
      <c r="C602" s="1" t="s">
        <v>14</v>
      </c>
      <c r="D602" s="1" t="s">
        <v>80</v>
      </c>
      <c r="E602" s="1" t="s">
        <v>41</v>
      </c>
      <c r="F602" s="1" t="s">
        <v>32</v>
      </c>
      <c r="G602" s="1" t="s">
        <v>66</v>
      </c>
      <c r="H602" s="1" t="s">
        <v>26</v>
      </c>
      <c r="I602" s="1" t="s">
        <v>20</v>
      </c>
      <c r="J602" s="1">
        <v>5</v>
      </c>
      <c r="K602" s="3">
        <v>424.56</v>
      </c>
      <c r="L602" s="4">
        <v>0</v>
      </c>
      <c r="M602" s="3">
        <v>2122.8200000000002</v>
      </c>
      <c r="N602" s="3">
        <v>346.27</v>
      </c>
    </row>
    <row r="603" spans="1:14" x14ac:dyDescent="0.45">
      <c r="A603" s="1" t="s">
        <v>669</v>
      </c>
      <c r="B603" s="2">
        <v>45674</v>
      </c>
      <c r="C603" s="1" t="s">
        <v>29</v>
      </c>
      <c r="D603" s="1" t="s">
        <v>30</v>
      </c>
      <c r="E603" s="1" t="s">
        <v>23</v>
      </c>
      <c r="F603" s="1" t="s">
        <v>24</v>
      </c>
      <c r="G603" s="1" t="s">
        <v>25</v>
      </c>
      <c r="H603" s="1" t="s">
        <v>26</v>
      </c>
      <c r="I603" s="1" t="s">
        <v>27</v>
      </c>
      <c r="J603" s="1">
        <v>11</v>
      </c>
      <c r="K603" s="3">
        <v>49.81</v>
      </c>
      <c r="L603" s="4">
        <v>0.1</v>
      </c>
      <c r="M603" s="3">
        <v>493.09</v>
      </c>
      <c r="N603" s="3">
        <v>66.599999999999994</v>
      </c>
    </row>
    <row r="604" spans="1:14" x14ac:dyDescent="0.45">
      <c r="A604" s="1" t="s">
        <v>670</v>
      </c>
      <c r="B604" s="2">
        <v>45673</v>
      </c>
      <c r="C604" s="1" t="s">
        <v>29</v>
      </c>
      <c r="D604" s="1" t="s">
        <v>44</v>
      </c>
      <c r="E604" s="1" t="s">
        <v>65</v>
      </c>
      <c r="F604" s="1" t="s">
        <v>17</v>
      </c>
      <c r="G604" s="1" t="s">
        <v>54</v>
      </c>
      <c r="H604" s="1" t="s">
        <v>51</v>
      </c>
      <c r="I604" s="1" t="s">
        <v>27</v>
      </c>
      <c r="J604" s="1">
        <v>2</v>
      </c>
      <c r="K604" s="3">
        <v>37.770000000000003</v>
      </c>
      <c r="L604" s="4">
        <v>0</v>
      </c>
      <c r="M604" s="3">
        <v>75.540000000000006</v>
      </c>
      <c r="N604" s="3">
        <v>-18.97</v>
      </c>
    </row>
    <row r="605" spans="1:14" x14ac:dyDescent="0.45">
      <c r="A605" s="1" t="s">
        <v>671</v>
      </c>
      <c r="B605" s="2">
        <v>45672</v>
      </c>
      <c r="C605" s="1" t="s">
        <v>29</v>
      </c>
      <c r="D605" s="1" t="s">
        <v>37</v>
      </c>
      <c r="E605" s="1" t="s">
        <v>53</v>
      </c>
      <c r="F605" s="1" t="s">
        <v>32</v>
      </c>
      <c r="G605" s="1" t="s">
        <v>46</v>
      </c>
      <c r="H605" s="1" t="s">
        <v>26</v>
      </c>
      <c r="I605" s="1" t="s">
        <v>67</v>
      </c>
      <c r="J605" s="1">
        <v>18</v>
      </c>
      <c r="K605" s="3">
        <v>82.84</v>
      </c>
      <c r="L605" s="4">
        <v>0.05</v>
      </c>
      <c r="M605" s="3">
        <v>1416.56</v>
      </c>
      <c r="N605" s="3">
        <v>260.83999999999997</v>
      </c>
    </row>
    <row r="606" spans="1:14" x14ac:dyDescent="0.45">
      <c r="A606" s="1" t="s">
        <v>672</v>
      </c>
      <c r="B606" s="2">
        <v>45666</v>
      </c>
      <c r="C606" s="1" t="s">
        <v>14</v>
      </c>
      <c r="D606" s="1" t="s">
        <v>80</v>
      </c>
      <c r="E606" s="1" t="s">
        <v>69</v>
      </c>
      <c r="F606" s="1" t="s">
        <v>32</v>
      </c>
      <c r="G606" s="1" t="s">
        <v>25</v>
      </c>
      <c r="H606" s="1" t="s">
        <v>26</v>
      </c>
      <c r="I606" s="1" t="s">
        <v>35</v>
      </c>
      <c r="J606" s="1">
        <v>1</v>
      </c>
      <c r="K606" s="3">
        <v>362.17</v>
      </c>
      <c r="L606" s="4">
        <v>0.03</v>
      </c>
      <c r="M606" s="3">
        <v>351.3</v>
      </c>
      <c r="N606" s="3">
        <v>33.520000000000003</v>
      </c>
    </row>
    <row r="607" spans="1:14" x14ac:dyDescent="0.45">
      <c r="A607" s="1" t="s">
        <v>673</v>
      </c>
      <c r="B607" s="2">
        <v>45665</v>
      </c>
      <c r="C607" s="1" t="s">
        <v>48</v>
      </c>
      <c r="D607" s="1" t="s">
        <v>78</v>
      </c>
      <c r="E607" s="1" t="s">
        <v>45</v>
      </c>
      <c r="F607" s="1" t="s">
        <v>17</v>
      </c>
      <c r="G607" s="1" t="s">
        <v>18</v>
      </c>
      <c r="H607" s="1" t="s">
        <v>19</v>
      </c>
      <c r="I607" s="1" t="s">
        <v>42</v>
      </c>
      <c r="J607" s="1">
        <v>3</v>
      </c>
      <c r="K607" s="3">
        <v>445.53</v>
      </c>
      <c r="L607" s="4">
        <v>0</v>
      </c>
      <c r="M607" s="3">
        <v>1336.59</v>
      </c>
      <c r="N607" s="3">
        <v>197.49</v>
      </c>
    </row>
    <row r="608" spans="1:14" x14ac:dyDescent="0.45">
      <c r="A608" s="1" t="s">
        <v>674</v>
      </c>
      <c r="B608" s="2">
        <v>45666</v>
      </c>
      <c r="C608" s="1" t="s">
        <v>29</v>
      </c>
      <c r="D608" s="1" t="s">
        <v>44</v>
      </c>
      <c r="E608" s="1" t="s">
        <v>45</v>
      </c>
      <c r="F608" s="1" t="s">
        <v>17</v>
      </c>
      <c r="G608" s="1" t="s">
        <v>46</v>
      </c>
      <c r="H608" s="1" t="s">
        <v>26</v>
      </c>
      <c r="I608" s="1" t="s">
        <v>67</v>
      </c>
      <c r="J608" s="1">
        <v>3</v>
      </c>
      <c r="K608" s="3">
        <v>30.2</v>
      </c>
      <c r="L608" s="4">
        <v>0.03</v>
      </c>
      <c r="M608" s="3">
        <v>87.9</v>
      </c>
      <c r="N608" s="3">
        <v>-18.07</v>
      </c>
    </row>
    <row r="609" spans="1:14" x14ac:dyDescent="0.45">
      <c r="A609" s="1" t="s">
        <v>675</v>
      </c>
      <c r="B609" s="2">
        <v>45685</v>
      </c>
      <c r="C609" s="1" t="s">
        <v>48</v>
      </c>
      <c r="D609" s="1" t="s">
        <v>91</v>
      </c>
      <c r="E609" s="1" t="s">
        <v>106</v>
      </c>
      <c r="F609" s="1" t="s">
        <v>32</v>
      </c>
      <c r="G609" s="1" t="s">
        <v>66</v>
      </c>
      <c r="H609" s="1" t="s">
        <v>26</v>
      </c>
      <c r="I609" s="1" t="s">
        <v>39</v>
      </c>
      <c r="J609" s="1">
        <v>3</v>
      </c>
      <c r="K609" s="3">
        <v>648.45000000000005</v>
      </c>
      <c r="L609" s="4">
        <v>0.03</v>
      </c>
      <c r="M609" s="3">
        <v>1886.98</v>
      </c>
      <c r="N609" s="3">
        <v>191.85</v>
      </c>
    </row>
    <row r="610" spans="1:14" x14ac:dyDescent="0.45">
      <c r="A610" s="1" t="s">
        <v>676</v>
      </c>
      <c r="B610" s="2">
        <v>45664</v>
      </c>
      <c r="C610" s="1" t="s">
        <v>48</v>
      </c>
      <c r="D610" s="1" t="s">
        <v>91</v>
      </c>
      <c r="E610" s="1" t="s">
        <v>69</v>
      </c>
      <c r="F610" s="1" t="s">
        <v>32</v>
      </c>
      <c r="G610" s="1" t="s">
        <v>18</v>
      </c>
      <c r="H610" s="1" t="s">
        <v>19</v>
      </c>
      <c r="I610" s="1" t="s">
        <v>67</v>
      </c>
      <c r="J610" s="1">
        <v>3</v>
      </c>
      <c r="K610" s="3">
        <v>588.79999999999995</v>
      </c>
      <c r="L610" s="4">
        <v>0.1</v>
      </c>
      <c r="M610" s="3">
        <v>1589.76</v>
      </c>
      <c r="N610" s="3">
        <v>308.27</v>
      </c>
    </row>
    <row r="611" spans="1:14" x14ac:dyDescent="0.45">
      <c r="A611" s="1" t="s">
        <v>677</v>
      </c>
      <c r="B611" s="2">
        <v>45674</v>
      </c>
      <c r="C611" s="1" t="s">
        <v>48</v>
      </c>
      <c r="D611" s="1" t="s">
        <v>91</v>
      </c>
      <c r="E611" s="1" t="s">
        <v>56</v>
      </c>
      <c r="F611" s="1" t="s">
        <v>24</v>
      </c>
      <c r="G611" s="1" t="s">
        <v>54</v>
      </c>
      <c r="H611" s="1" t="s">
        <v>51</v>
      </c>
      <c r="I611" s="1" t="s">
        <v>67</v>
      </c>
      <c r="J611" s="1">
        <v>2</v>
      </c>
      <c r="K611" s="3">
        <v>649.34</v>
      </c>
      <c r="L611" s="4">
        <v>0.05</v>
      </c>
      <c r="M611" s="3">
        <v>1233.74</v>
      </c>
      <c r="N611" s="3">
        <v>215.62</v>
      </c>
    </row>
    <row r="612" spans="1:14" x14ac:dyDescent="0.45">
      <c r="A612" s="1" t="s">
        <v>678</v>
      </c>
      <c r="B612" s="2">
        <v>45680</v>
      </c>
      <c r="C612" s="1" t="s">
        <v>14</v>
      </c>
      <c r="D612" s="1" t="s">
        <v>80</v>
      </c>
      <c r="E612" s="1" t="s">
        <v>104</v>
      </c>
      <c r="F612" s="1" t="s">
        <v>24</v>
      </c>
      <c r="G612" s="1" t="s">
        <v>54</v>
      </c>
      <c r="H612" s="1" t="s">
        <v>51</v>
      </c>
      <c r="I612" s="1" t="s">
        <v>20</v>
      </c>
      <c r="J612" s="1">
        <v>4</v>
      </c>
      <c r="K612" s="3">
        <v>453.18</v>
      </c>
      <c r="L612" s="4">
        <v>0.03</v>
      </c>
      <c r="M612" s="3">
        <v>1758.32</v>
      </c>
      <c r="N612" s="3">
        <v>312.86</v>
      </c>
    </row>
    <row r="613" spans="1:14" x14ac:dyDescent="0.45">
      <c r="A613" s="1" t="s">
        <v>679</v>
      </c>
      <c r="B613" s="2">
        <v>45674</v>
      </c>
      <c r="C613" s="1" t="s">
        <v>48</v>
      </c>
      <c r="D613" s="1" t="s">
        <v>78</v>
      </c>
      <c r="E613" s="1" t="s">
        <v>23</v>
      </c>
      <c r="F613" s="1" t="s">
        <v>32</v>
      </c>
      <c r="G613" s="1" t="s">
        <v>66</v>
      </c>
      <c r="H613" s="1" t="s">
        <v>26</v>
      </c>
      <c r="I613" s="1" t="s">
        <v>20</v>
      </c>
      <c r="J613" s="1">
        <v>8</v>
      </c>
      <c r="K613" s="3">
        <v>492.13</v>
      </c>
      <c r="L613" s="4">
        <v>7.0000000000000007E-2</v>
      </c>
      <c r="M613" s="3">
        <v>3661.41</v>
      </c>
      <c r="N613" s="3">
        <v>832.79</v>
      </c>
    </row>
    <row r="614" spans="1:14" x14ac:dyDescent="0.45">
      <c r="A614" s="1" t="s">
        <v>680</v>
      </c>
      <c r="B614" s="2">
        <v>45715</v>
      </c>
      <c r="C614" s="1" t="s">
        <v>14</v>
      </c>
      <c r="D614" s="1" t="s">
        <v>15</v>
      </c>
      <c r="E614" s="1" t="s">
        <v>92</v>
      </c>
      <c r="F614" s="1" t="s">
        <v>32</v>
      </c>
      <c r="G614" s="1" t="s">
        <v>61</v>
      </c>
      <c r="H614" s="1" t="s">
        <v>51</v>
      </c>
      <c r="I614" s="1" t="s">
        <v>35</v>
      </c>
      <c r="J614" s="1">
        <v>2</v>
      </c>
      <c r="K614" s="3">
        <v>98.13</v>
      </c>
      <c r="L614" s="4">
        <v>0.03</v>
      </c>
      <c r="M614" s="3">
        <v>190.37</v>
      </c>
      <c r="N614" s="3">
        <v>-21.47</v>
      </c>
    </row>
    <row r="615" spans="1:14" x14ac:dyDescent="0.45">
      <c r="A615" s="1" t="s">
        <v>681</v>
      </c>
      <c r="B615" s="2">
        <v>45716</v>
      </c>
      <c r="C615" s="1" t="s">
        <v>14</v>
      </c>
      <c r="D615" s="1" t="s">
        <v>22</v>
      </c>
      <c r="E615" s="1" t="s">
        <v>31</v>
      </c>
      <c r="F615" s="1" t="s">
        <v>32</v>
      </c>
      <c r="G615" s="1" t="s">
        <v>57</v>
      </c>
      <c r="H615" s="1" t="s">
        <v>51</v>
      </c>
      <c r="I615" s="1" t="s">
        <v>35</v>
      </c>
      <c r="J615" s="1">
        <v>3</v>
      </c>
      <c r="K615" s="3">
        <v>1389.59</v>
      </c>
      <c r="L615" s="4">
        <v>0.05</v>
      </c>
      <c r="M615" s="3">
        <v>3960.33</v>
      </c>
      <c r="N615" s="3">
        <v>741.51</v>
      </c>
    </row>
    <row r="616" spans="1:14" x14ac:dyDescent="0.45">
      <c r="A616" s="1" t="s">
        <v>682</v>
      </c>
      <c r="B616" s="2">
        <v>45709</v>
      </c>
      <c r="C616" s="1" t="s">
        <v>48</v>
      </c>
      <c r="D616" s="1" t="s">
        <v>49</v>
      </c>
      <c r="E616" s="1" t="s">
        <v>95</v>
      </c>
      <c r="F616" s="1" t="s">
        <v>32</v>
      </c>
      <c r="G616" s="1" t="s">
        <v>33</v>
      </c>
      <c r="H616" s="1" t="s">
        <v>34</v>
      </c>
      <c r="I616" s="1" t="s">
        <v>39</v>
      </c>
      <c r="J616" s="1">
        <v>6</v>
      </c>
      <c r="K616" s="3">
        <v>348.82</v>
      </c>
      <c r="L616" s="4">
        <v>7.0000000000000007E-2</v>
      </c>
      <c r="M616" s="3">
        <v>1946.39</v>
      </c>
      <c r="N616" s="3">
        <v>486.56</v>
      </c>
    </row>
    <row r="617" spans="1:14" x14ac:dyDescent="0.45">
      <c r="A617" s="1" t="s">
        <v>683</v>
      </c>
      <c r="B617" s="2">
        <v>45702</v>
      </c>
      <c r="C617" s="1" t="s">
        <v>48</v>
      </c>
      <c r="D617" s="1" t="s">
        <v>91</v>
      </c>
      <c r="E617" s="1" t="s">
        <v>45</v>
      </c>
      <c r="F617" s="1" t="s">
        <v>24</v>
      </c>
      <c r="G617" s="1" t="s">
        <v>61</v>
      </c>
      <c r="H617" s="1" t="s">
        <v>51</v>
      </c>
      <c r="I617" s="1" t="s">
        <v>39</v>
      </c>
      <c r="J617" s="1">
        <v>3</v>
      </c>
      <c r="K617" s="3">
        <v>592.99</v>
      </c>
      <c r="L617" s="4">
        <v>0.05</v>
      </c>
      <c r="M617" s="3">
        <v>1690.02</v>
      </c>
      <c r="N617" s="3">
        <v>233.01</v>
      </c>
    </row>
    <row r="618" spans="1:14" x14ac:dyDescent="0.45">
      <c r="A618" s="1" t="s">
        <v>684</v>
      </c>
      <c r="B618" s="2">
        <v>45713</v>
      </c>
      <c r="C618" s="1" t="s">
        <v>48</v>
      </c>
      <c r="D618" s="1" t="s">
        <v>91</v>
      </c>
      <c r="E618" s="1" t="s">
        <v>73</v>
      </c>
      <c r="F618" s="1" t="s">
        <v>24</v>
      </c>
      <c r="G618" s="1" t="s">
        <v>57</v>
      </c>
      <c r="H618" s="1" t="s">
        <v>51</v>
      </c>
      <c r="I618" s="1" t="s">
        <v>39</v>
      </c>
      <c r="J618" s="1">
        <v>4</v>
      </c>
      <c r="K618" s="3">
        <v>518.20000000000005</v>
      </c>
      <c r="L618" s="4">
        <v>0</v>
      </c>
      <c r="M618" s="3">
        <v>2072.8000000000002</v>
      </c>
      <c r="N618" s="3">
        <v>300.86</v>
      </c>
    </row>
    <row r="619" spans="1:14" x14ac:dyDescent="0.45">
      <c r="A619" s="1" t="s">
        <v>685</v>
      </c>
      <c r="B619" s="2">
        <v>45707</v>
      </c>
      <c r="C619" s="1" t="s">
        <v>14</v>
      </c>
      <c r="D619" s="1" t="s">
        <v>15</v>
      </c>
      <c r="E619" s="1" t="s">
        <v>31</v>
      </c>
      <c r="F619" s="1" t="s">
        <v>17</v>
      </c>
      <c r="G619" s="1" t="s">
        <v>18</v>
      </c>
      <c r="H619" s="1" t="s">
        <v>19</v>
      </c>
      <c r="I619" s="1" t="s">
        <v>39</v>
      </c>
      <c r="J619" s="1">
        <v>9</v>
      </c>
      <c r="K619" s="3">
        <v>89.19</v>
      </c>
      <c r="L619" s="4">
        <v>0.03</v>
      </c>
      <c r="M619" s="3">
        <v>778.59</v>
      </c>
      <c r="N619" s="3">
        <v>100.36</v>
      </c>
    </row>
    <row r="620" spans="1:14" x14ac:dyDescent="0.45">
      <c r="A620" s="1" t="s">
        <v>686</v>
      </c>
      <c r="B620" s="2">
        <v>45691</v>
      </c>
      <c r="C620" s="1" t="s">
        <v>48</v>
      </c>
      <c r="D620" s="1" t="s">
        <v>91</v>
      </c>
      <c r="E620" s="1" t="s">
        <v>31</v>
      </c>
      <c r="F620" s="1" t="s">
        <v>32</v>
      </c>
      <c r="G620" s="1" t="s">
        <v>74</v>
      </c>
      <c r="H620" s="1" t="s">
        <v>26</v>
      </c>
      <c r="I620" s="1" t="s">
        <v>42</v>
      </c>
      <c r="J620" s="1">
        <v>8</v>
      </c>
      <c r="K620" s="3">
        <v>597.25</v>
      </c>
      <c r="L620" s="4">
        <v>0</v>
      </c>
      <c r="M620" s="3">
        <v>4778</v>
      </c>
      <c r="N620" s="3">
        <v>815.67</v>
      </c>
    </row>
    <row r="621" spans="1:14" x14ac:dyDescent="0.45">
      <c r="A621" s="1" t="s">
        <v>687</v>
      </c>
      <c r="B621" s="2">
        <v>45707</v>
      </c>
      <c r="C621" s="1" t="s">
        <v>29</v>
      </c>
      <c r="D621" s="1" t="s">
        <v>30</v>
      </c>
      <c r="E621" s="1" t="s">
        <v>38</v>
      </c>
      <c r="F621" s="1" t="s">
        <v>17</v>
      </c>
      <c r="G621" s="1" t="s">
        <v>74</v>
      </c>
      <c r="H621" s="1" t="s">
        <v>26</v>
      </c>
      <c r="I621" s="1" t="s">
        <v>35</v>
      </c>
      <c r="J621" s="1">
        <v>16</v>
      </c>
      <c r="K621" s="3">
        <v>51.04</v>
      </c>
      <c r="L621" s="4">
        <v>0</v>
      </c>
      <c r="M621" s="3">
        <v>816.64</v>
      </c>
      <c r="N621" s="3">
        <v>111.62</v>
      </c>
    </row>
    <row r="622" spans="1:14" x14ac:dyDescent="0.45">
      <c r="A622" s="1" t="s">
        <v>688</v>
      </c>
      <c r="B622" s="2">
        <v>45698</v>
      </c>
      <c r="C622" s="1" t="s">
        <v>29</v>
      </c>
      <c r="D622" s="1" t="s">
        <v>37</v>
      </c>
      <c r="E622" s="1" t="s">
        <v>38</v>
      </c>
      <c r="F622" s="1" t="s">
        <v>32</v>
      </c>
      <c r="G622" s="1" t="s">
        <v>46</v>
      </c>
      <c r="H622" s="1" t="s">
        <v>26</v>
      </c>
      <c r="I622" s="1" t="s">
        <v>35</v>
      </c>
      <c r="J622" s="1">
        <v>18</v>
      </c>
      <c r="K622" s="3">
        <v>83.24</v>
      </c>
      <c r="L622" s="4">
        <v>0</v>
      </c>
      <c r="M622" s="3">
        <v>1498.38</v>
      </c>
      <c r="N622" s="3">
        <v>275.7</v>
      </c>
    </row>
    <row r="623" spans="1:14" x14ac:dyDescent="0.45">
      <c r="A623" s="1" t="s">
        <v>689</v>
      </c>
      <c r="B623" s="2">
        <v>45716</v>
      </c>
      <c r="C623" s="1" t="s">
        <v>14</v>
      </c>
      <c r="D623" s="1" t="s">
        <v>15</v>
      </c>
      <c r="E623" s="1" t="s">
        <v>73</v>
      </c>
      <c r="F623" s="1" t="s">
        <v>32</v>
      </c>
      <c r="G623" s="1" t="s">
        <v>33</v>
      </c>
      <c r="H623" s="1" t="s">
        <v>34</v>
      </c>
      <c r="I623" s="1" t="s">
        <v>35</v>
      </c>
      <c r="J623" s="1">
        <v>11</v>
      </c>
      <c r="K623" s="3">
        <v>105.34</v>
      </c>
      <c r="L623" s="4">
        <v>0.1</v>
      </c>
      <c r="M623" s="3">
        <v>1042.82</v>
      </c>
      <c r="N623" s="3">
        <v>299.72000000000003</v>
      </c>
    </row>
    <row r="624" spans="1:14" x14ac:dyDescent="0.45">
      <c r="A624" s="1" t="s">
        <v>690</v>
      </c>
      <c r="B624" s="2">
        <v>45694</v>
      </c>
      <c r="C624" s="1" t="s">
        <v>29</v>
      </c>
      <c r="D624" s="1" t="s">
        <v>30</v>
      </c>
      <c r="E624" s="1" t="s">
        <v>56</v>
      </c>
      <c r="F624" s="1" t="s">
        <v>24</v>
      </c>
      <c r="G624" s="1" t="s">
        <v>54</v>
      </c>
      <c r="H624" s="1" t="s">
        <v>51</v>
      </c>
      <c r="I624" s="1" t="s">
        <v>35</v>
      </c>
      <c r="J624" s="1">
        <v>13</v>
      </c>
      <c r="K624" s="3">
        <v>61.91</v>
      </c>
      <c r="L624" s="4">
        <v>0.05</v>
      </c>
      <c r="M624" s="3">
        <v>764.65</v>
      </c>
      <c r="N624" s="3">
        <v>59.64</v>
      </c>
    </row>
    <row r="625" spans="1:14" x14ac:dyDescent="0.45">
      <c r="A625" s="1" t="s">
        <v>691</v>
      </c>
      <c r="B625" s="2">
        <v>45691</v>
      </c>
      <c r="C625" s="1" t="s">
        <v>14</v>
      </c>
      <c r="D625" s="1" t="s">
        <v>22</v>
      </c>
      <c r="E625" s="1" t="s">
        <v>16</v>
      </c>
      <c r="F625" s="1" t="s">
        <v>17</v>
      </c>
      <c r="G625" s="1" t="s">
        <v>50</v>
      </c>
      <c r="H625" s="1" t="s">
        <v>51</v>
      </c>
      <c r="I625" s="1" t="s">
        <v>67</v>
      </c>
      <c r="J625" s="1">
        <v>2</v>
      </c>
      <c r="K625" s="3">
        <v>1401.06</v>
      </c>
      <c r="L625" s="4">
        <v>0</v>
      </c>
      <c r="M625" s="3">
        <v>2802.13</v>
      </c>
      <c r="N625" s="3">
        <v>381.6</v>
      </c>
    </row>
    <row r="626" spans="1:14" x14ac:dyDescent="0.45">
      <c r="A626" s="1" t="s">
        <v>692</v>
      </c>
      <c r="B626" s="2">
        <v>45694</v>
      </c>
      <c r="C626" s="1" t="s">
        <v>29</v>
      </c>
      <c r="D626" s="1" t="s">
        <v>44</v>
      </c>
      <c r="E626" s="1" t="s">
        <v>92</v>
      </c>
      <c r="F626" s="1" t="s">
        <v>17</v>
      </c>
      <c r="G626" s="1" t="s">
        <v>18</v>
      </c>
      <c r="H626" s="1" t="s">
        <v>19</v>
      </c>
      <c r="I626" s="1" t="s">
        <v>39</v>
      </c>
      <c r="J626" s="1">
        <v>18</v>
      </c>
      <c r="K626" s="3">
        <v>32.58</v>
      </c>
      <c r="L626" s="4">
        <v>0.03</v>
      </c>
      <c r="M626" s="3">
        <v>568.88</v>
      </c>
      <c r="N626" s="3">
        <v>68.91</v>
      </c>
    </row>
    <row r="627" spans="1:14" x14ac:dyDescent="0.45">
      <c r="A627" s="1" t="s">
        <v>693</v>
      </c>
      <c r="B627" s="2">
        <v>45694</v>
      </c>
      <c r="C627" s="1" t="s">
        <v>14</v>
      </c>
      <c r="D627" s="1" t="s">
        <v>22</v>
      </c>
      <c r="E627" s="1" t="s">
        <v>16</v>
      </c>
      <c r="F627" s="1" t="s">
        <v>32</v>
      </c>
      <c r="G627" s="1" t="s">
        <v>33</v>
      </c>
      <c r="H627" s="1" t="s">
        <v>34</v>
      </c>
      <c r="I627" s="1" t="s">
        <v>20</v>
      </c>
      <c r="J627" s="1">
        <v>4</v>
      </c>
      <c r="K627" s="3">
        <v>1517.73</v>
      </c>
      <c r="L627" s="4">
        <v>0</v>
      </c>
      <c r="M627" s="3">
        <v>6070.92</v>
      </c>
      <c r="N627" s="3">
        <v>969.29</v>
      </c>
    </row>
    <row r="628" spans="1:14" x14ac:dyDescent="0.45">
      <c r="A628" s="1" t="s">
        <v>694</v>
      </c>
      <c r="B628" s="2">
        <v>45694</v>
      </c>
      <c r="C628" s="1" t="s">
        <v>14</v>
      </c>
      <c r="D628" s="1" t="s">
        <v>22</v>
      </c>
      <c r="E628" s="1" t="s">
        <v>31</v>
      </c>
      <c r="F628" s="1" t="s">
        <v>17</v>
      </c>
      <c r="G628" s="1" t="s">
        <v>57</v>
      </c>
      <c r="H628" s="1" t="s">
        <v>51</v>
      </c>
      <c r="I628" s="1" t="s">
        <v>20</v>
      </c>
      <c r="J628" s="1">
        <v>2</v>
      </c>
      <c r="K628" s="3">
        <v>1246.77</v>
      </c>
      <c r="L628" s="4">
        <v>0.1</v>
      </c>
      <c r="M628" s="3">
        <v>2244.19</v>
      </c>
      <c r="N628" s="3">
        <v>386.08</v>
      </c>
    </row>
    <row r="629" spans="1:14" x14ac:dyDescent="0.45">
      <c r="A629" s="1" t="s">
        <v>695</v>
      </c>
      <c r="B629" s="2">
        <v>45698</v>
      </c>
      <c r="C629" s="1" t="s">
        <v>29</v>
      </c>
      <c r="D629" s="1" t="s">
        <v>30</v>
      </c>
      <c r="E629" s="1" t="s">
        <v>65</v>
      </c>
      <c r="F629" s="1" t="s">
        <v>24</v>
      </c>
      <c r="G629" s="1" t="s">
        <v>66</v>
      </c>
      <c r="H629" s="1" t="s">
        <v>26</v>
      </c>
      <c r="I629" s="1" t="s">
        <v>27</v>
      </c>
      <c r="J629" s="1">
        <v>5</v>
      </c>
      <c r="K629" s="3">
        <v>56.69</v>
      </c>
      <c r="L629" s="4">
        <v>7.0000000000000007E-2</v>
      </c>
      <c r="M629" s="3">
        <v>263.63</v>
      </c>
      <c r="N629" s="3">
        <v>-18.55</v>
      </c>
    </row>
    <row r="630" spans="1:14" x14ac:dyDescent="0.45">
      <c r="A630" s="1" t="s">
        <v>696</v>
      </c>
      <c r="B630" s="2">
        <v>45700</v>
      </c>
      <c r="C630" s="1" t="s">
        <v>48</v>
      </c>
      <c r="D630" s="1" t="s">
        <v>91</v>
      </c>
      <c r="E630" s="1" t="s">
        <v>41</v>
      </c>
      <c r="F630" s="1" t="s">
        <v>17</v>
      </c>
      <c r="G630" s="1" t="s">
        <v>54</v>
      </c>
      <c r="H630" s="1" t="s">
        <v>51</v>
      </c>
      <c r="I630" s="1" t="s">
        <v>42</v>
      </c>
      <c r="J630" s="1">
        <v>5</v>
      </c>
      <c r="K630" s="3">
        <v>731.69</v>
      </c>
      <c r="L630" s="4">
        <v>0.03</v>
      </c>
      <c r="M630" s="3">
        <v>3548.69</v>
      </c>
      <c r="N630" s="3">
        <v>556.94000000000005</v>
      </c>
    </row>
    <row r="631" spans="1:14" x14ac:dyDescent="0.45">
      <c r="A631" s="1" t="s">
        <v>697</v>
      </c>
      <c r="B631" s="2">
        <v>45691</v>
      </c>
      <c r="C631" s="1" t="s">
        <v>48</v>
      </c>
      <c r="D631" s="1" t="s">
        <v>78</v>
      </c>
      <c r="E631" s="1" t="s">
        <v>63</v>
      </c>
      <c r="F631" s="1" t="s">
        <v>24</v>
      </c>
      <c r="G631" s="1" t="s">
        <v>66</v>
      </c>
      <c r="H631" s="1" t="s">
        <v>26</v>
      </c>
      <c r="I631" s="1" t="s">
        <v>27</v>
      </c>
      <c r="J631" s="1">
        <v>4</v>
      </c>
      <c r="K631" s="3">
        <v>536.94000000000005</v>
      </c>
      <c r="L631" s="4">
        <v>0.03</v>
      </c>
      <c r="M631" s="3">
        <v>2083.3200000000002</v>
      </c>
      <c r="N631" s="3">
        <v>316.33</v>
      </c>
    </row>
    <row r="632" spans="1:14" x14ac:dyDescent="0.45">
      <c r="A632" s="1" t="s">
        <v>698</v>
      </c>
      <c r="B632" s="2">
        <v>45735</v>
      </c>
      <c r="C632" s="1" t="s">
        <v>14</v>
      </c>
      <c r="D632" s="1" t="s">
        <v>15</v>
      </c>
      <c r="E632" s="1" t="s">
        <v>92</v>
      </c>
      <c r="F632" s="1" t="s">
        <v>24</v>
      </c>
      <c r="G632" s="1" t="s">
        <v>57</v>
      </c>
      <c r="H632" s="1" t="s">
        <v>51</v>
      </c>
      <c r="I632" s="1" t="s">
        <v>67</v>
      </c>
      <c r="J632" s="1">
        <v>7</v>
      </c>
      <c r="K632" s="3">
        <v>92.73</v>
      </c>
      <c r="L632" s="4">
        <v>0</v>
      </c>
      <c r="M632" s="3">
        <v>649.12</v>
      </c>
      <c r="N632" s="3">
        <v>113.53</v>
      </c>
    </row>
    <row r="633" spans="1:14" x14ac:dyDescent="0.45">
      <c r="A633" s="1" t="s">
        <v>699</v>
      </c>
      <c r="B633" s="2">
        <v>45734</v>
      </c>
      <c r="C633" s="1" t="s">
        <v>29</v>
      </c>
      <c r="D633" s="1" t="s">
        <v>30</v>
      </c>
      <c r="E633" s="1" t="s">
        <v>16</v>
      </c>
      <c r="F633" s="1" t="s">
        <v>32</v>
      </c>
      <c r="G633" s="1" t="s">
        <v>50</v>
      </c>
      <c r="H633" s="1" t="s">
        <v>51</v>
      </c>
      <c r="I633" s="1" t="s">
        <v>27</v>
      </c>
      <c r="J633" s="1">
        <v>12</v>
      </c>
      <c r="K633" s="3">
        <v>49.89</v>
      </c>
      <c r="L633" s="4">
        <v>0</v>
      </c>
      <c r="M633" s="3">
        <v>598.66</v>
      </c>
      <c r="N633" s="3">
        <v>65.05</v>
      </c>
    </row>
    <row r="634" spans="1:14" x14ac:dyDescent="0.45">
      <c r="A634" s="1" t="s">
        <v>700</v>
      </c>
      <c r="B634" s="2">
        <v>45737</v>
      </c>
      <c r="C634" s="1" t="s">
        <v>48</v>
      </c>
      <c r="D634" s="1" t="s">
        <v>91</v>
      </c>
      <c r="E634" s="1" t="s">
        <v>38</v>
      </c>
      <c r="F634" s="1" t="s">
        <v>17</v>
      </c>
      <c r="G634" s="1" t="s">
        <v>50</v>
      </c>
      <c r="H634" s="1" t="s">
        <v>51</v>
      </c>
      <c r="I634" s="1" t="s">
        <v>35</v>
      </c>
      <c r="J634" s="1">
        <v>8</v>
      </c>
      <c r="K634" s="3">
        <v>575.82000000000005</v>
      </c>
      <c r="L634" s="4">
        <v>0.03</v>
      </c>
      <c r="M634" s="3">
        <v>4468.3500000000004</v>
      </c>
      <c r="N634" s="3">
        <v>789.04</v>
      </c>
    </row>
    <row r="635" spans="1:14" x14ac:dyDescent="0.45">
      <c r="A635" s="1" t="s">
        <v>701</v>
      </c>
      <c r="B635" s="2">
        <v>45719</v>
      </c>
      <c r="C635" s="1" t="s">
        <v>14</v>
      </c>
      <c r="D635" s="1" t="s">
        <v>15</v>
      </c>
      <c r="E635" s="1" t="s">
        <v>65</v>
      </c>
      <c r="F635" s="1" t="s">
        <v>32</v>
      </c>
      <c r="G635" s="1" t="s">
        <v>61</v>
      </c>
      <c r="H635" s="1" t="s">
        <v>51</v>
      </c>
      <c r="I635" s="1" t="s">
        <v>20</v>
      </c>
      <c r="J635" s="1">
        <v>4</v>
      </c>
      <c r="K635" s="3">
        <v>110.05</v>
      </c>
      <c r="L635" s="4">
        <v>0.05</v>
      </c>
      <c r="M635" s="3">
        <v>418.19</v>
      </c>
      <c r="N635" s="3">
        <v>76.819999999999993</v>
      </c>
    </row>
    <row r="636" spans="1:14" x14ac:dyDescent="0.45">
      <c r="A636" s="1" t="s">
        <v>702</v>
      </c>
      <c r="B636" s="2">
        <v>45722</v>
      </c>
      <c r="C636" s="1" t="s">
        <v>48</v>
      </c>
      <c r="D636" s="1" t="s">
        <v>91</v>
      </c>
      <c r="E636" s="1" t="s">
        <v>60</v>
      </c>
      <c r="F636" s="1" t="s">
        <v>32</v>
      </c>
      <c r="G636" s="1" t="s">
        <v>66</v>
      </c>
      <c r="H636" s="1" t="s">
        <v>26</v>
      </c>
      <c r="I636" s="1" t="s">
        <v>67</v>
      </c>
      <c r="J636" s="1">
        <v>2</v>
      </c>
      <c r="K636" s="3">
        <v>616.04</v>
      </c>
      <c r="L636" s="4">
        <v>0.05</v>
      </c>
      <c r="M636" s="3">
        <v>1170.48</v>
      </c>
      <c r="N636" s="3">
        <v>136.57</v>
      </c>
    </row>
    <row r="637" spans="1:14" x14ac:dyDescent="0.45">
      <c r="A637" s="1" t="s">
        <v>703</v>
      </c>
      <c r="B637" s="2">
        <v>45740</v>
      </c>
      <c r="C637" s="1" t="s">
        <v>48</v>
      </c>
      <c r="D637" s="1" t="s">
        <v>49</v>
      </c>
      <c r="E637" s="1" t="s">
        <v>92</v>
      </c>
      <c r="F637" s="1" t="s">
        <v>17</v>
      </c>
      <c r="G637" s="1" t="s">
        <v>66</v>
      </c>
      <c r="H637" s="1" t="s">
        <v>26</v>
      </c>
      <c r="I637" s="1" t="s">
        <v>35</v>
      </c>
      <c r="J637" s="1">
        <v>4</v>
      </c>
      <c r="K637" s="3">
        <v>367.48</v>
      </c>
      <c r="L637" s="4">
        <v>0.05</v>
      </c>
      <c r="M637" s="3">
        <v>1396.43</v>
      </c>
      <c r="N637" s="3">
        <v>173.33</v>
      </c>
    </row>
    <row r="638" spans="1:14" x14ac:dyDescent="0.45">
      <c r="A638" s="1" t="s">
        <v>704</v>
      </c>
      <c r="B638" s="2">
        <v>45740</v>
      </c>
      <c r="C638" s="1" t="s">
        <v>29</v>
      </c>
      <c r="D638" s="1" t="s">
        <v>37</v>
      </c>
      <c r="E638" s="1" t="s">
        <v>87</v>
      </c>
      <c r="F638" s="1" t="s">
        <v>32</v>
      </c>
      <c r="G638" s="1" t="s">
        <v>74</v>
      </c>
      <c r="H638" s="1" t="s">
        <v>26</v>
      </c>
      <c r="I638" s="1" t="s">
        <v>42</v>
      </c>
      <c r="J638" s="1">
        <v>14</v>
      </c>
      <c r="K638" s="3">
        <v>81.72</v>
      </c>
      <c r="L638" s="4">
        <v>0.1</v>
      </c>
      <c r="M638" s="3">
        <v>1029.6400000000001</v>
      </c>
      <c r="N638" s="3">
        <v>200.71</v>
      </c>
    </row>
    <row r="639" spans="1:14" x14ac:dyDescent="0.45">
      <c r="A639" s="1" t="s">
        <v>705</v>
      </c>
      <c r="B639" s="2">
        <v>45722</v>
      </c>
      <c r="C639" s="1" t="s">
        <v>48</v>
      </c>
      <c r="D639" s="1" t="s">
        <v>91</v>
      </c>
      <c r="E639" s="1" t="s">
        <v>89</v>
      </c>
      <c r="F639" s="1" t="s">
        <v>17</v>
      </c>
      <c r="G639" s="1" t="s">
        <v>33</v>
      </c>
      <c r="H639" s="1" t="s">
        <v>34</v>
      </c>
      <c r="I639" s="1" t="s">
        <v>27</v>
      </c>
      <c r="J639" s="1">
        <v>5</v>
      </c>
      <c r="K639" s="3">
        <v>685.49</v>
      </c>
      <c r="L639" s="4">
        <v>0</v>
      </c>
      <c r="M639" s="3">
        <v>3427.44</v>
      </c>
      <c r="N639" s="3">
        <v>701.74</v>
      </c>
    </row>
    <row r="640" spans="1:14" x14ac:dyDescent="0.45">
      <c r="A640" s="1" t="s">
        <v>706</v>
      </c>
      <c r="B640" s="2">
        <v>45744</v>
      </c>
      <c r="C640" s="1" t="s">
        <v>48</v>
      </c>
      <c r="D640" s="1" t="s">
        <v>49</v>
      </c>
      <c r="E640" s="1" t="s">
        <v>69</v>
      </c>
      <c r="F640" s="1" t="s">
        <v>24</v>
      </c>
      <c r="G640" s="1" t="s">
        <v>66</v>
      </c>
      <c r="H640" s="1" t="s">
        <v>26</v>
      </c>
      <c r="I640" s="1" t="s">
        <v>27</v>
      </c>
      <c r="J640" s="1">
        <v>3</v>
      </c>
      <c r="K640" s="3">
        <v>356.81</v>
      </c>
      <c r="L640" s="4">
        <v>0.1</v>
      </c>
      <c r="M640" s="3">
        <v>963.37</v>
      </c>
      <c r="N640" s="3">
        <v>161.21</v>
      </c>
    </row>
    <row r="641" spans="1:14" x14ac:dyDescent="0.45">
      <c r="A641" s="1" t="s">
        <v>707</v>
      </c>
      <c r="B641" s="2">
        <v>45742</v>
      </c>
      <c r="C641" s="1" t="s">
        <v>14</v>
      </c>
      <c r="D641" s="1" t="s">
        <v>22</v>
      </c>
      <c r="E641" s="1" t="s">
        <v>69</v>
      </c>
      <c r="F641" s="1" t="s">
        <v>32</v>
      </c>
      <c r="G641" s="1" t="s">
        <v>50</v>
      </c>
      <c r="H641" s="1" t="s">
        <v>51</v>
      </c>
      <c r="I641" s="1" t="s">
        <v>20</v>
      </c>
      <c r="J641" s="1">
        <v>5</v>
      </c>
      <c r="K641" s="3">
        <v>1494.91</v>
      </c>
      <c r="L641" s="4">
        <v>0.05</v>
      </c>
      <c r="M641" s="3">
        <v>7100.81</v>
      </c>
      <c r="N641" s="3">
        <v>1229.33</v>
      </c>
    </row>
    <row r="642" spans="1:14" x14ac:dyDescent="0.45">
      <c r="A642" s="1" t="s">
        <v>708</v>
      </c>
      <c r="B642" s="2">
        <v>45726</v>
      </c>
      <c r="C642" s="1" t="s">
        <v>48</v>
      </c>
      <c r="D642" s="1" t="s">
        <v>49</v>
      </c>
      <c r="E642" s="1" t="s">
        <v>31</v>
      </c>
      <c r="F642" s="1" t="s">
        <v>17</v>
      </c>
      <c r="G642" s="1" t="s">
        <v>54</v>
      </c>
      <c r="H642" s="1" t="s">
        <v>51</v>
      </c>
      <c r="I642" s="1" t="s">
        <v>39</v>
      </c>
      <c r="J642" s="1">
        <v>8</v>
      </c>
      <c r="K642" s="3">
        <v>386.1</v>
      </c>
      <c r="L642" s="4">
        <v>0.05</v>
      </c>
      <c r="M642" s="3">
        <v>2934.39</v>
      </c>
      <c r="N642" s="3">
        <v>674.62</v>
      </c>
    </row>
    <row r="643" spans="1:14" x14ac:dyDescent="0.45">
      <c r="A643" s="1" t="s">
        <v>709</v>
      </c>
      <c r="B643" s="2">
        <v>45740</v>
      </c>
      <c r="C643" s="1" t="s">
        <v>48</v>
      </c>
      <c r="D643" s="1" t="s">
        <v>78</v>
      </c>
      <c r="E643" s="1" t="s">
        <v>45</v>
      </c>
      <c r="F643" s="1" t="s">
        <v>32</v>
      </c>
      <c r="G643" s="1" t="s">
        <v>18</v>
      </c>
      <c r="H643" s="1" t="s">
        <v>19</v>
      </c>
      <c r="I643" s="1" t="s">
        <v>39</v>
      </c>
      <c r="J643" s="1">
        <v>3</v>
      </c>
      <c r="K643" s="3">
        <v>485.02</v>
      </c>
      <c r="L643" s="4">
        <v>0.05</v>
      </c>
      <c r="M643" s="3">
        <v>1382.32</v>
      </c>
      <c r="N643" s="3">
        <v>285.70999999999998</v>
      </c>
    </row>
    <row r="644" spans="1:14" x14ac:dyDescent="0.45">
      <c r="A644" s="1" t="s">
        <v>710</v>
      </c>
      <c r="B644" s="2">
        <v>45735</v>
      </c>
      <c r="C644" s="1" t="s">
        <v>48</v>
      </c>
      <c r="D644" s="1" t="s">
        <v>78</v>
      </c>
      <c r="E644" s="1" t="s">
        <v>87</v>
      </c>
      <c r="F644" s="1" t="s">
        <v>32</v>
      </c>
      <c r="G644" s="1" t="s">
        <v>50</v>
      </c>
      <c r="H644" s="1" t="s">
        <v>51</v>
      </c>
      <c r="I644" s="1" t="s">
        <v>39</v>
      </c>
      <c r="J644" s="1">
        <v>3</v>
      </c>
      <c r="K644" s="3">
        <v>503.41</v>
      </c>
      <c r="L644" s="4">
        <v>0.05</v>
      </c>
      <c r="M644" s="3">
        <v>1434.73</v>
      </c>
      <c r="N644" s="3">
        <v>213.64</v>
      </c>
    </row>
    <row r="645" spans="1:14" x14ac:dyDescent="0.45">
      <c r="A645" s="1" t="s">
        <v>711</v>
      </c>
      <c r="B645" s="2">
        <v>45743</v>
      </c>
      <c r="C645" s="1" t="s">
        <v>48</v>
      </c>
      <c r="D645" s="1" t="s">
        <v>78</v>
      </c>
      <c r="E645" s="1" t="s">
        <v>65</v>
      </c>
      <c r="F645" s="1" t="s">
        <v>32</v>
      </c>
      <c r="G645" s="1" t="s">
        <v>46</v>
      </c>
      <c r="H645" s="1" t="s">
        <v>26</v>
      </c>
      <c r="I645" s="1" t="s">
        <v>27</v>
      </c>
      <c r="J645" s="1">
        <v>1</v>
      </c>
      <c r="K645" s="3">
        <v>489.09</v>
      </c>
      <c r="L645" s="4">
        <v>0</v>
      </c>
      <c r="M645" s="3">
        <v>489.09</v>
      </c>
      <c r="N645" s="3">
        <v>64.650000000000006</v>
      </c>
    </row>
    <row r="646" spans="1:14" x14ac:dyDescent="0.45">
      <c r="A646" s="1" t="s">
        <v>712</v>
      </c>
      <c r="B646" s="2">
        <v>45728</v>
      </c>
      <c r="C646" s="1" t="s">
        <v>14</v>
      </c>
      <c r="D646" s="1" t="s">
        <v>15</v>
      </c>
      <c r="E646" s="1" t="s">
        <v>60</v>
      </c>
      <c r="F646" s="1" t="s">
        <v>17</v>
      </c>
      <c r="G646" s="1" t="s">
        <v>46</v>
      </c>
      <c r="H646" s="1" t="s">
        <v>26</v>
      </c>
      <c r="I646" s="1" t="s">
        <v>39</v>
      </c>
      <c r="J646" s="1">
        <v>13</v>
      </c>
      <c r="K646" s="3">
        <v>101.99</v>
      </c>
      <c r="L646" s="4">
        <v>0.05</v>
      </c>
      <c r="M646" s="3">
        <v>1259.6199999999999</v>
      </c>
      <c r="N646" s="3">
        <v>266.27999999999997</v>
      </c>
    </row>
    <row r="647" spans="1:14" x14ac:dyDescent="0.45">
      <c r="A647" s="1" t="s">
        <v>713</v>
      </c>
      <c r="B647" s="2">
        <v>45768</v>
      </c>
      <c r="C647" s="1" t="s">
        <v>48</v>
      </c>
      <c r="D647" s="1" t="s">
        <v>91</v>
      </c>
      <c r="E647" s="1" t="s">
        <v>41</v>
      </c>
      <c r="F647" s="1" t="s">
        <v>24</v>
      </c>
      <c r="G647" s="1" t="s">
        <v>74</v>
      </c>
      <c r="H647" s="1" t="s">
        <v>26</v>
      </c>
      <c r="I647" s="1" t="s">
        <v>27</v>
      </c>
      <c r="J647" s="1">
        <v>5</v>
      </c>
      <c r="K647" s="3">
        <v>558.38</v>
      </c>
      <c r="L647" s="4">
        <v>0</v>
      </c>
      <c r="M647" s="3">
        <v>2791.9</v>
      </c>
      <c r="N647" s="3">
        <v>389.15</v>
      </c>
    </row>
    <row r="648" spans="1:14" x14ac:dyDescent="0.45">
      <c r="A648" s="1" t="s">
        <v>714</v>
      </c>
      <c r="B648" s="2">
        <v>45772</v>
      </c>
      <c r="C648" s="1" t="s">
        <v>48</v>
      </c>
      <c r="D648" s="1" t="s">
        <v>91</v>
      </c>
      <c r="E648" s="1" t="s">
        <v>23</v>
      </c>
      <c r="F648" s="1" t="s">
        <v>32</v>
      </c>
      <c r="G648" s="1" t="s">
        <v>74</v>
      </c>
      <c r="H648" s="1" t="s">
        <v>26</v>
      </c>
      <c r="I648" s="1" t="s">
        <v>35</v>
      </c>
      <c r="J648" s="1">
        <v>1</v>
      </c>
      <c r="K648" s="3">
        <v>605.92999999999995</v>
      </c>
      <c r="L648" s="4">
        <v>7.0000000000000007E-2</v>
      </c>
      <c r="M648" s="3">
        <v>563.51</v>
      </c>
      <c r="N648" s="3">
        <v>29.89</v>
      </c>
    </row>
    <row r="649" spans="1:14" x14ac:dyDescent="0.45">
      <c r="A649" s="1" t="s">
        <v>715</v>
      </c>
      <c r="B649" s="2">
        <v>45755</v>
      </c>
      <c r="C649" s="1" t="s">
        <v>29</v>
      </c>
      <c r="D649" s="1" t="s">
        <v>44</v>
      </c>
      <c r="E649" s="1" t="s">
        <v>63</v>
      </c>
      <c r="F649" s="1" t="s">
        <v>32</v>
      </c>
      <c r="G649" s="1" t="s">
        <v>74</v>
      </c>
      <c r="H649" s="1" t="s">
        <v>26</v>
      </c>
      <c r="I649" s="1" t="s">
        <v>27</v>
      </c>
      <c r="J649" s="1">
        <v>8</v>
      </c>
      <c r="K649" s="3">
        <v>31.04</v>
      </c>
      <c r="L649" s="4">
        <v>7.0000000000000007E-2</v>
      </c>
      <c r="M649" s="3">
        <v>230.95</v>
      </c>
      <c r="N649" s="3">
        <v>8.14</v>
      </c>
    </row>
    <row r="650" spans="1:14" x14ac:dyDescent="0.45">
      <c r="A650" s="1" t="s">
        <v>716</v>
      </c>
      <c r="B650" s="2">
        <v>45761</v>
      </c>
      <c r="C650" s="1" t="s">
        <v>48</v>
      </c>
      <c r="D650" s="1" t="s">
        <v>91</v>
      </c>
      <c r="E650" s="1" t="s">
        <v>31</v>
      </c>
      <c r="F650" s="1" t="s">
        <v>17</v>
      </c>
      <c r="G650" s="1" t="s">
        <v>46</v>
      </c>
      <c r="H650" s="1" t="s">
        <v>26</v>
      </c>
      <c r="I650" s="1" t="s">
        <v>39</v>
      </c>
      <c r="J650" s="1">
        <v>2</v>
      </c>
      <c r="K650" s="3">
        <v>624.16999999999996</v>
      </c>
      <c r="L650" s="4">
        <v>7.0000000000000007E-2</v>
      </c>
      <c r="M650" s="3">
        <v>1160.96</v>
      </c>
      <c r="N650" s="3">
        <v>152.63</v>
      </c>
    </row>
    <row r="651" spans="1:14" x14ac:dyDescent="0.45">
      <c r="A651" s="1" t="s">
        <v>717</v>
      </c>
      <c r="B651" s="2">
        <v>45769</v>
      </c>
      <c r="C651" s="1" t="s">
        <v>48</v>
      </c>
      <c r="D651" s="1" t="s">
        <v>91</v>
      </c>
      <c r="E651" s="1" t="s">
        <v>104</v>
      </c>
      <c r="F651" s="1" t="s">
        <v>24</v>
      </c>
      <c r="G651" s="1" t="s">
        <v>25</v>
      </c>
      <c r="H651" s="1" t="s">
        <v>26</v>
      </c>
      <c r="I651" s="1" t="s">
        <v>27</v>
      </c>
      <c r="J651" s="1">
        <v>2</v>
      </c>
      <c r="K651" s="3">
        <v>640.98</v>
      </c>
      <c r="L651" s="4">
        <v>0.03</v>
      </c>
      <c r="M651" s="3">
        <v>1243.5</v>
      </c>
      <c r="N651" s="3">
        <v>89.35</v>
      </c>
    </row>
    <row r="652" spans="1:14" x14ac:dyDescent="0.45">
      <c r="A652" s="1" t="s">
        <v>718</v>
      </c>
      <c r="B652" s="2">
        <v>45765</v>
      </c>
      <c r="C652" s="1" t="s">
        <v>29</v>
      </c>
      <c r="D652" s="1" t="s">
        <v>30</v>
      </c>
      <c r="E652" s="1" t="s">
        <v>41</v>
      </c>
      <c r="F652" s="1" t="s">
        <v>24</v>
      </c>
      <c r="G652" s="1" t="s">
        <v>46</v>
      </c>
      <c r="H652" s="1" t="s">
        <v>26</v>
      </c>
      <c r="I652" s="1" t="s">
        <v>35</v>
      </c>
      <c r="J652" s="1">
        <v>18</v>
      </c>
      <c r="K652" s="3">
        <v>53.76</v>
      </c>
      <c r="L652" s="4">
        <v>0.05</v>
      </c>
      <c r="M652" s="3">
        <v>919.22</v>
      </c>
      <c r="N652" s="3">
        <v>139.53</v>
      </c>
    </row>
    <row r="653" spans="1:14" x14ac:dyDescent="0.45">
      <c r="A653" s="1" t="s">
        <v>719</v>
      </c>
      <c r="B653" s="2">
        <v>45772</v>
      </c>
      <c r="C653" s="1" t="s">
        <v>29</v>
      </c>
      <c r="D653" s="1" t="s">
        <v>44</v>
      </c>
      <c r="E653" s="1" t="s">
        <v>23</v>
      </c>
      <c r="F653" s="1" t="s">
        <v>32</v>
      </c>
      <c r="G653" s="1" t="s">
        <v>74</v>
      </c>
      <c r="H653" s="1" t="s">
        <v>26</v>
      </c>
      <c r="I653" s="1" t="s">
        <v>42</v>
      </c>
      <c r="J653" s="1">
        <v>7</v>
      </c>
      <c r="K653" s="3">
        <v>33.44</v>
      </c>
      <c r="L653" s="4">
        <v>0.1</v>
      </c>
      <c r="M653" s="3">
        <v>210.68</v>
      </c>
      <c r="N653" s="3">
        <v>-8.1999999999999993</v>
      </c>
    </row>
    <row r="654" spans="1:14" x14ac:dyDescent="0.45">
      <c r="A654" s="1" t="s">
        <v>720</v>
      </c>
      <c r="B654" s="2">
        <v>45763</v>
      </c>
      <c r="C654" s="1" t="s">
        <v>29</v>
      </c>
      <c r="D654" s="1" t="s">
        <v>30</v>
      </c>
      <c r="E654" s="1" t="s">
        <v>81</v>
      </c>
      <c r="F654" s="1" t="s">
        <v>24</v>
      </c>
      <c r="G654" s="1" t="s">
        <v>57</v>
      </c>
      <c r="H654" s="1" t="s">
        <v>51</v>
      </c>
      <c r="I654" s="1" t="s">
        <v>67</v>
      </c>
      <c r="J654" s="1">
        <v>15</v>
      </c>
      <c r="K654" s="3">
        <v>53.56</v>
      </c>
      <c r="L654" s="4">
        <v>0.1</v>
      </c>
      <c r="M654" s="3">
        <v>723.08</v>
      </c>
      <c r="N654" s="3">
        <v>91.44</v>
      </c>
    </row>
    <row r="655" spans="1:14" x14ac:dyDescent="0.45">
      <c r="A655" s="1" t="s">
        <v>721</v>
      </c>
      <c r="B655" s="2">
        <v>45750</v>
      </c>
      <c r="C655" s="1" t="s">
        <v>29</v>
      </c>
      <c r="D655" s="1" t="s">
        <v>30</v>
      </c>
      <c r="E655" s="1" t="s">
        <v>56</v>
      </c>
      <c r="F655" s="1" t="s">
        <v>24</v>
      </c>
      <c r="G655" s="1" t="s">
        <v>25</v>
      </c>
      <c r="H655" s="1" t="s">
        <v>26</v>
      </c>
      <c r="I655" s="1" t="s">
        <v>42</v>
      </c>
      <c r="J655" s="1">
        <v>11</v>
      </c>
      <c r="K655" s="3">
        <v>57.38</v>
      </c>
      <c r="L655" s="4">
        <v>0.05</v>
      </c>
      <c r="M655" s="3">
        <v>599.66999999999996</v>
      </c>
      <c r="N655" s="3">
        <v>37.65</v>
      </c>
    </row>
    <row r="656" spans="1:14" x14ac:dyDescent="0.45">
      <c r="A656" s="1" t="s">
        <v>722</v>
      </c>
      <c r="B656" s="2">
        <v>45754</v>
      </c>
      <c r="C656" s="1" t="s">
        <v>48</v>
      </c>
      <c r="D656" s="1" t="s">
        <v>49</v>
      </c>
      <c r="E656" s="1" t="s">
        <v>81</v>
      </c>
      <c r="F656" s="1" t="s">
        <v>32</v>
      </c>
      <c r="G656" s="1" t="s">
        <v>61</v>
      </c>
      <c r="H656" s="1" t="s">
        <v>51</v>
      </c>
      <c r="I656" s="1" t="s">
        <v>42</v>
      </c>
      <c r="J656" s="1">
        <v>3</v>
      </c>
      <c r="K656" s="3">
        <v>350.99</v>
      </c>
      <c r="L656" s="4">
        <v>7.0000000000000007E-2</v>
      </c>
      <c r="M656" s="3">
        <v>979.27</v>
      </c>
      <c r="N656" s="3">
        <v>164.24</v>
      </c>
    </row>
    <row r="657" spans="1:14" x14ac:dyDescent="0.45">
      <c r="A657" s="1" t="s">
        <v>723</v>
      </c>
      <c r="B657" s="2">
        <v>45748</v>
      </c>
      <c r="C657" s="1" t="s">
        <v>14</v>
      </c>
      <c r="D657" s="1" t="s">
        <v>22</v>
      </c>
      <c r="E657" s="1" t="s">
        <v>65</v>
      </c>
      <c r="F657" s="1" t="s">
        <v>32</v>
      </c>
      <c r="G657" s="1" t="s">
        <v>25</v>
      </c>
      <c r="H657" s="1" t="s">
        <v>26</v>
      </c>
      <c r="I657" s="1" t="s">
        <v>39</v>
      </c>
      <c r="J657" s="1">
        <v>7</v>
      </c>
      <c r="K657" s="3">
        <v>1504.99</v>
      </c>
      <c r="L657" s="4">
        <v>0</v>
      </c>
      <c r="M657" s="3">
        <v>10534.95</v>
      </c>
      <c r="N657" s="3">
        <v>1610.05</v>
      </c>
    </row>
    <row r="658" spans="1:14" x14ac:dyDescent="0.45">
      <c r="A658" s="1" t="s">
        <v>724</v>
      </c>
      <c r="B658" s="2">
        <v>45775</v>
      </c>
      <c r="C658" s="1" t="s">
        <v>29</v>
      </c>
      <c r="D658" s="1" t="s">
        <v>44</v>
      </c>
      <c r="E658" s="1" t="s">
        <v>45</v>
      </c>
      <c r="F658" s="1" t="s">
        <v>24</v>
      </c>
      <c r="G658" s="1" t="s">
        <v>50</v>
      </c>
      <c r="H658" s="1" t="s">
        <v>51</v>
      </c>
      <c r="I658" s="1" t="s">
        <v>27</v>
      </c>
      <c r="J658" s="1">
        <v>17</v>
      </c>
      <c r="K658" s="3">
        <v>34.729999999999997</v>
      </c>
      <c r="L658" s="4">
        <v>0</v>
      </c>
      <c r="M658" s="3">
        <v>590.34</v>
      </c>
      <c r="N658" s="3">
        <v>120.02</v>
      </c>
    </row>
    <row r="659" spans="1:14" x14ac:dyDescent="0.45">
      <c r="A659" s="1" t="s">
        <v>725</v>
      </c>
      <c r="B659" s="2">
        <v>45772</v>
      </c>
      <c r="C659" s="1" t="s">
        <v>29</v>
      </c>
      <c r="D659" s="1" t="s">
        <v>30</v>
      </c>
      <c r="E659" s="1" t="s">
        <v>92</v>
      </c>
      <c r="F659" s="1" t="s">
        <v>24</v>
      </c>
      <c r="G659" s="1" t="s">
        <v>61</v>
      </c>
      <c r="H659" s="1" t="s">
        <v>51</v>
      </c>
      <c r="I659" s="1" t="s">
        <v>42</v>
      </c>
      <c r="J659" s="1">
        <v>4</v>
      </c>
      <c r="K659" s="3">
        <v>55.56</v>
      </c>
      <c r="L659" s="4">
        <v>0.1</v>
      </c>
      <c r="M659" s="3">
        <v>200.02</v>
      </c>
      <c r="N659" s="3">
        <v>17.37</v>
      </c>
    </row>
    <row r="660" spans="1:14" x14ac:dyDescent="0.45">
      <c r="A660" s="1" t="s">
        <v>726</v>
      </c>
      <c r="B660" s="2">
        <v>45762</v>
      </c>
      <c r="C660" s="1" t="s">
        <v>48</v>
      </c>
      <c r="D660" s="1" t="s">
        <v>78</v>
      </c>
      <c r="E660" s="1" t="s">
        <v>23</v>
      </c>
      <c r="F660" s="1" t="s">
        <v>24</v>
      </c>
      <c r="G660" s="1" t="s">
        <v>66</v>
      </c>
      <c r="H660" s="1" t="s">
        <v>26</v>
      </c>
      <c r="I660" s="1" t="s">
        <v>67</v>
      </c>
      <c r="J660" s="1">
        <v>5</v>
      </c>
      <c r="K660" s="3">
        <v>548.51</v>
      </c>
      <c r="L660" s="4">
        <v>0</v>
      </c>
      <c r="M660" s="3">
        <v>2742.56</v>
      </c>
      <c r="N660" s="3">
        <v>540.79</v>
      </c>
    </row>
    <row r="661" spans="1:14" x14ac:dyDescent="0.45">
      <c r="A661" s="1" t="s">
        <v>727</v>
      </c>
      <c r="B661" s="2">
        <v>45758</v>
      </c>
      <c r="C661" s="1" t="s">
        <v>29</v>
      </c>
      <c r="D661" s="1" t="s">
        <v>37</v>
      </c>
      <c r="E661" s="1" t="s">
        <v>16</v>
      </c>
      <c r="F661" s="1" t="s">
        <v>32</v>
      </c>
      <c r="G661" s="1" t="s">
        <v>61</v>
      </c>
      <c r="H661" s="1" t="s">
        <v>51</v>
      </c>
      <c r="I661" s="1" t="s">
        <v>20</v>
      </c>
      <c r="J661" s="1">
        <v>6</v>
      </c>
      <c r="K661" s="3">
        <v>88.83</v>
      </c>
      <c r="L661" s="4">
        <v>0</v>
      </c>
      <c r="M661" s="3">
        <v>532.95000000000005</v>
      </c>
      <c r="N661" s="3">
        <v>105.15</v>
      </c>
    </row>
    <row r="662" spans="1:14" x14ac:dyDescent="0.45">
      <c r="A662" s="1" t="s">
        <v>728</v>
      </c>
      <c r="B662" s="2">
        <v>45758</v>
      </c>
      <c r="C662" s="1" t="s">
        <v>48</v>
      </c>
      <c r="D662" s="1" t="s">
        <v>49</v>
      </c>
      <c r="E662" s="1" t="s">
        <v>73</v>
      </c>
      <c r="F662" s="1" t="s">
        <v>32</v>
      </c>
      <c r="G662" s="1" t="s">
        <v>57</v>
      </c>
      <c r="H662" s="1" t="s">
        <v>51</v>
      </c>
      <c r="I662" s="1" t="s">
        <v>42</v>
      </c>
      <c r="J662" s="1">
        <v>2</v>
      </c>
      <c r="K662" s="3">
        <v>317.27999999999997</v>
      </c>
      <c r="L662" s="4">
        <v>0.05</v>
      </c>
      <c r="M662" s="3">
        <v>602.83000000000004</v>
      </c>
      <c r="N662" s="3">
        <v>93</v>
      </c>
    </row>
    <row r="663" spans="1:14" x14ac:dyDescent="0.45">
      <c r="A663" s="1" t="s">
        <v>729</v>
      </c>
      <c r="B663" s="2">
        <v>45789</v>
      </c>
      <c r="C663" s="1" t="s">
        <v>29</v>
      </c>
      <c r="D663" s="1" t="s">
        <v>44</v>
      </c>
      <c r="E663" s="1" t="s">
        <v>65</v>
      </c>
      <c r="F663" s="1" t="s">
        <v>17</v>
      </c>
      <c r="G663" s="1" t="s">
        <v>46</v>
      </c>
      <c r="H663" s="1" t="s">
        <v>26</v>
      </c>
      <c r="I663" s="1" t="s">
        <v>42</v>
      </c>
      <c r="J663" s="1">
        <v>3</v>
      </c>
      <c r="K663" s="3">
        <v>34.619999999999997</v>
      </c>
      <c r="L663" s="4">
        <v>0.1</v>
      </c>
      <c r="M663" s="3">
        <v>93.48</v>
      </c>
      <c r="N663" s="3">
        <v>8.01</v>
      </c>
    </row>
    <row r="664" spans="1:14" x14ac:dyDescent="0.45">
      <c r="A664" s="1" t="s">
        <v>730</v>
      </c>
      <c r="B664" s="2">
        <v>45798</v>
      </c>
      <c r="C664" s="1" t="s">
        <v>29</v>
      </c>
      <c r="D664" s="1" t="s">
        <v>37</v>
      </c>
      <c r="E664" s="1" t="s">
        <v>65</v>
      </c>
      <c r="F664" s="1" t="s">
        <v>24</v>
      </c>
      <c r="G664" s="1" t="s">
        <v>61</v>
      </c>
      <c r="H664" s="1" t="s">
        <v>51</v>
      </c>
      <c r="I664" s="1" t="s">
        <v>42</v>
      </c>
      <c r="J664" s="1">
        <v>13</v>
      </c>
      <c r="K664" s="3">
        <v>102.17</v>
      </c>
      <c r="L664" s="4">
        <v>0.1</v>
      </c>
      <c r="M664" s="3">
        <v>1195.4000000000001</v>
      </c>
      <c r="N664" s="3">
        <v>163</v>
      </c>
    </row>
    <row r="665" spans="1:14" x14ac:dyDescent="0.45">
      <c r="A665" s="1" t="s">
        <v>731</v>
      </c>
      <c r="B665" s="2">
        <v>45807</v>
      </c>
      <c r="C665" s="1" t="s">
        <v>29</v>
      </c>
      <c r="D665" s="1" t="s">
        <v>30</v>
      </c>
      <c r="E665" s="1" t="s">
        <v>81</v>
      </c>
      <c r="F665" s="1" t="s">
        <v>32</v>
      </c>
      <c r="G665" s="1" t="s">
        <v>61</v>
      </c>
      <c r="H665" s="1" t="s">
        <v>51</v>
      </c>
      <c r="I665" s="1" t="s">
        <v>27</v>
      </c>
      <c r="J665" s="1">
        <v>9</v>
      </c>
      <c r="K665" s="3">
        <v>56.43</v>
      </c>
      <c r="L665" s="4">
        <v>0</v>
      </c>
      <c r="M665" s="3">
        <v>507.85</v>
      </c>
      <c r="N665" s="3">
        <v>61.24</v>
      </c>
    </row>
    <row r="666" spans="1:14" x14ac:dyDescent="0.45">
      <c r="A666" s="1" t="s">
        <v>732</v>
      </c>
      <c r="B666" s="2">
        <v>45783</v>
      </c>
      <c r="C666" s="1" t="s">
        <v>29</v>
      </c>
      <c r="D666" s="1" t="s">
        <v>30</v>
      </c>
      <c r="E666" s="1" t="s">
        <v>41</v>
      </c>
      <c r="F666" s="1" t="s">
        <v>32</v>
      </c>
      <c r="G666" s="1" t="s">
        <v>18</v>
      </c>
      <c r="H666" s="1" t="s">
        <v>19</v>
      </c>
      <c r="I666" s="1" t="s">
        <v>39</v>
      </c>
      <c r="J666" s="1">
        <v>15</v>
      </c>
      <c r="K666" s="3">
        <v>58.01</v>
      </c>
      <c r="L666" s="4">
        <v>0.03</v>
      </c>
      <c r="M666" s="3">
        <v>844.04</v>
      </c>
      <c r="N666" s="3">
        <v>101.94</v>
      </c>
    </row>
    <row r="667" spans="1:14" x14ac:dyDescent="0.45">
      <c r="A667" s="1" t="s">
        <v>733</v>
      </c>
      <c r="B667" s="2">
        <v>45778</v>
      </c>
      <c r="C667" s="1" t="s">
        <v>14</v>
      </c>
      <c r="D667" s="1" t="s">
        <v>15</v>
      </c>
      <c r="E667" s="1" t="s">
        <v>23</v>
      </c>
      <c r="F667" s="1" t="s">
        <v>17</v>
      </c>
      <c r="G667" s="1" t="s">
        <v>18</v>
      </c>
      <c r="H667" s="1" t="s">
        <v>19</v>
      </c>
      <c r="I667" s="1" t="s">
        <v>35</v>
      </c>
      <c r="J667" s="1">
        <v>15</v>
      </c>
      <c r="K667" s="3">
        <v>104.92</v>
      </c>
      <c r="L667" s="4">
        <v>7.0000000000000007E-2</v>
      </c>
      <c r="M667" s="3">
        <v>1463.67</v>
      </c>
      <c r="N667" s="3">
        <v>400.62</v>
      </c>
    </row>
    <row r="668" spans="1:14" x14ac:dyDescent="0.45">
      <c r="A668" s="1" t="s">
        <v>734</v>
      </c>
      <c r="B668" s="2">
        <v>45783</v>
      </c>
      <c r="C668" s="1" t="s">
        <v>14</v>
      </c>
      <c r="D668" s="1" t="s">
        <v>15</v>
      </c>
      <c r="E668" s="1" t="s">
        <v>89</v>
      </c>
      <c r="F668" s="1" t="s">
        <v>24</v>
      </c>
      <c r="G668" s="1" t="s">
        <v>33</v>
      </c>
      <c r="H668" s="1" t="s">
        <v>34</v>
      </c>
      <c r="I668" s="1" t="s">
        <v>20</v>
      </c>
      <c r="J668" s="1">
        <v>2</v>
      </c>
      <c r="K668" s="3">
        <v>116.32</v>
      </c>
      <c r="L668" s="4">
        <v>0.1</v>
      </c>
      <c r="M668" s="3">
        <v>209.37</v>
      </c>
      <c r="N668" s="3">
        <v>-31.02</v>
      </c>
    </row>
    <row r="669" spans="1:14" x14ac:dyDescent="0.45">
      <c r="A669" s="1" t="s">
        <v>735</v>
      </c>
      <c r="B669" s="2">
        <v>45784</v>
      </c>
      <c r="C669" s="1" t="s">
        <v>14</v>
      </c>
      <c r="D669" s="1" t="s">
        <v>22</v>
      </c>
      <c r="E669" s="1" t="s">
        <v>56</v>
      </c>
      <c r="F669" s="1" t="s">
        <v>24</v>
      </c>
      <c r="G669" s="1" t="s">
        <v>50</v>
      </c>
      <c r="H669" s="1" t="s">
        <v>51</v>
      </c>
      <c r="I669" s="1" t="s">
        <v>42</v>
      </c>
      <c r="J669" s="1">
        <v>7</v>
      </c>
      <c r="K669" s="3">
        <v>1598.99</v>
      </c>
      <c r="L669" s="4">
        <v>0.03</v>
      </c>
      <c r="M669" s="3">
        <v>10857.12</v>
      </c>
      <c r="N669" s="3">
        <v>1835.71</v>
      </c>
    </row>
    <row r="670" spans="1:14" x14ac:dyDescent="0.45">
      <c r="A670" s="1" t="s">
        <v>736</v>
      </c>
      <c r="B670" s="2">
        <v>45805</v>
      </c>
      <c r="C670" s="1" t="s">
        <v>29</v>
      </c>
      <c r="D670" s="1" t="s">
        <v>30</v>
      </c>
      <c r="E670" s="1" t="s">
        <v>53</v>
      </c>
      <c r="F670" s="1" t="s">
        <v>32</v>
      </c>
      <c r="G670" s="1" t="s">
        <v>74</v>
      </c>
      <c r="H670" s="1" t="s">
        <v>26</v>
      </c>
      <c r="I670" s="1" t="s">
        <v>20</v>
      </c>
      <c r="J670" s="1">
        <v>4</v>
      </c>
      <c r="K670" s="3">
        <v>51.96</v>
      </c>
      <c r="L670" s="4">
        <v>0</v>
      </c>
      <c r="M670" s="3">
        <v>207.83</v>
      </c>
      <c r="N670" s="3">
        <v>3.43</v>
      </c>
    </row>
    <row r="671" spans="1:14" x14ac:dyDescent="0.45">
      <c r="A671" s="1" t="s">
        <v>737</v>
      </c>
      <c r="B671" s="2">
        <v>45785</v>
      </c>
      <c r="C671" s="1" t="s">
        <v>14</v>
      </c>
      <c r="D671" s="1" t="s">
        <v>22</v>
      </c>
      <c r="E671" s="1" t="s">
        <v>73</v>
      </c>
      <c r="F671" s="1" t="s">
        <v>24</v>
      </c>
      <c r="G671" s="1" t="s">
        <v>54</v>
      </c>
      <c r="H671" s="1" t="s">
        <v>51</v>
      </c>
      <c r="I671" s="1" t="s">
        <v>67</v>
      </c>
      <c r="J671" s="1">
        <v>4</v>
      </c>
      <c r="K671" s="3">
        <v>1896.54</v>
      </c>
      <c r="L671" s="4">
        <v>0.05</v>
      </c>
      <c r="M671" s="3">
        <v>7206.86</v>
      </c>
      <c r="N671" s="3">
        <v>1031.9100000000001</v>
      </c>
    </row>
    <row r="672" spans="1:14" x14ac:dyDescent="0.45">
      <c r="A672" s="1" t="s">
        <v>738</v>
      </c>
      <c r="B672" s="2">
        <v>45778</v>
      </c>
      <c r="C672" s="1" t="s">
        <v>14</v>
      </c>
      <c r="D672" s="1" t="s">
        <v>80</v>
      </c>
      <c r="E672" s="1" t="s">
        <v>31</v>
      </c>
      <c r="F672" s="1" t="s">
        <v>24</v>
      </c>
      <c r="G672" s="1" t="s">
        <v>74</v>
      </c>
      <c r="H672" s="1" t="s">
        <v>26</v>
      </c>
      <c r="I672" s="1" t="s">
        <v>35</v>
      </c>
      <c r="J672" s="1">
        <v>3</v>
      </c>
      <c r="K672" s="3">
        <v>374.65</v>
      </c>
      <c r="L672" s="4">
        <v>0.03</v>
      </c>
      <c r="M672" s="3">
        <v>1090.23</v>
      </c>
      <c r="N672" s="3">
        <v>122.7</v>
      </c>
    </row>
    <row r="673" spans="1:14" x14ac:dyDescent="0.45">
      <c r="A673" s="1" t="s">
        <v>739</v>
      </c>
      <c r="B673" s="2">
        <v>45790</v>
      </c>
      <c r="C673" s="1" t="s">
        <v>48</v>
      </c>
      <c r="D673" s="1" t="s">
        <v>78</v>
      </c>
      <c r="E673" s="1" t="s">
        <v>89</v>
      </c>
      <c r="F673" s="1" t="s">
        <v>24</v>
      </c>
      <c r="G673" s="1" t="s">
        <v>61</v>
      </c>
      <c r="H673" s="1" t="s">
        <v>51</v>
      </c>
      <c r="I673" s="1" t="s">
        <v>39</v>
      </c>
      <c r="J673" s="1">
        <v>2</v>
      </c>
      <c r="K673" s="3">
        <v>533.59</v>
      </c>
      <c r="L673" s="4">
        <v>0</v>
      </c>
      <c r="M673" s="3">
        <v>1067.18</v>
      </c>
      <c r="N673" s="3">
        <v>96.94</v>
      </c>
    </row>
    <row r="674" spans="1:14" x14ac:dyDescent="0.45">
      <c r="A674" s="1" t="s">
        <v>740</v>
      </c>
      <c r="B674" s="2">
        <v>45785</v>
      </c>
      <c r="C674" s="1" t="s">
        <v>29</v>
      </c>
      <c r="D674" s="1" t="s">
        <v>37</v>
      </c>
      <c r="E674" s="1" t="s">
        <v>60</v>
      </c>
      <c r="F674" s="1" t="s">
        <v>17</v>
      </c>
      <c r="G674" s="1" t="s">
        <v>57</v>
      </c>
      <c r="H674" s="1" t="s">
        <v>51</v>
      </c>
      <c r="I674" s="1" t="s">
        <v>39</v>
      </c>
      <c r="J674" s="1">
        <v>8</v>
      </c>
      <c r="K674" s="3">
        <v>87.93</v>
      </c>
      <c r="L674" s="4">
        <v>0.03</v>
      </c>
      <c r="M674" s="3">
        <v>682.3</v>
      </c>
      <c r="N674" s="3">
        <v>141.15</v>
      </c>
    </row>
    <row r="675" spans="1:14" x14ac:dyDescent="0.45">
      <c r="A675" s="1" t="s">
        <v>741</v>
      </c>
      <c r="B675" s="2">
        <v>45782</v>
      </c>
      <c r="C675" s="1" t="s">
        <v>29</v>
      </c>
      <c r="D675" s="1" t="s">
        <v>30</v>
      </c>
      <c r="E675" s="1" t="s">
        <v>65</v>
      </c>
      <c r="F675" s="1" t="s">
        <v>32</v>
      </c>
      <c r="G675" s="1" t="s">
        <v>54</v>
      </c>
      <c r="H675" s="1" t="s">
        <v>51</v>
      </c>
      <c r="I675" s="1" t="s">
        <v>20</v>
      </c>
      <c r="J675" s="1">
        <v>16</v>
      </c>
      <c r="K675" s="3">
        <v>68.28</v>
      </c>
      <c r="L675" s="4">
        <v>0.03</v>
      </c>
      <c r="M675" s="3">
        <v>1059.7</v>
      </c>
      <c r="N675" s="3">
        <v>140.4</v>
      </c>
    </row>
    <row r="676" spans="1:14" x14ac:dyDescent="0.45">
      <c r="A676" s="1" t="s">
        <v>742</v>
      </c>
      <c r="B676" s="2">
        <v>45782</v>
      </c>
      <c r="C676" s="1" t="s">
        <v>14</v>
      </c>
      <c r="D676" s="1" t="s">
        <v>80</v>
      </c>
      <c r="E676" s="1" t="s">
        <v>53</v>
      </c>
      <c r="F676" s="1" t="s">
        <v>24</v>
      </c>
      <c r="G676" s="1" t="s">
        <v>33</v>
      </c>
      <c r="H676" s="1" t="s">
        <v>34</v>
      </c>
      <c r="I676" s="1" t="s">
        <v>39</v>
      </c>
      <c r="J676" s="1">
        <v>4</v>
      </c>
      <c r="K676" s="3">
        <v>485.72</v>
      </c>
      <c r="L676" s="4">
        <v>0.1</v>
      </c>
      <c r="M676" s="3">
        <v>1748.59</v>
      </c>
      <c r="N676" s="3">
        <v>287.68</v>
      </c>
    </row>
    <row r="677" spans="1:14" x14ac:dyDescent="0.45">
      <c r="A677" s="1" t="s">
        <v>743</v>
      </c>
      <c r="B677" s="2">
        <v>45806</v>
      </c>
      <c r="C677" s="1" t="s">
        <v>14</v>
      </c>
      <c r="D677" s="1" t="s">
        <v>15</v>
      </c>
      <c r="E677" s="1" t="s">
        <v>38</v>
      </c>
      <c r="F677" s="1" t="s">
        <v>32</v>
      </c>
      <c r="G677" s="1" t="s">
        <v>54</v>
      </c>
      <c r="H677" s="1" t="s">
        <v>51</v>
      </c>
      <c r="I677" s="1" t="s">
        <v>20</v>
      </c>
      <c r="J677" s="1">
        <v>17</v>
      </c>
      <c r="K677" s="3">
        <v>128.99</v>
      </c>
      <c r="L677" s="4">
        <v>7.0000000000000007E-2</v>
      </c>
      <c r="M677" s="3">
        <v>2039.3</v>
      </c>
      <c r="N677" s="3">
        <v>566.39</v>
      </c>
    </row>
    <row r="678" spans="1:14" x14ac:dyDescent="0.45">
      <c r="A678" s="1" t="s">
        <v>744</v>
      </c>
      <c r="B678" s="2">
        <v>45804</v>
      </c>
      <c r="C678" s="1" t="s">
        <v>48</v>
      </c>
      <c r="D678" s="1" t="s">
        <v>78</v>
      </c>
      <c r="E678" s="1" t="s">
        <v>106</v>
      </c>
      <c r="F678" s="1" t="s">
        <v>32</v>
      </c>
      <c r="G678" s="1" t="s">
        <v>54</v>
      </c>
      <c r="H678" s="1" t="s">
        <v>51</v>
      </c>
      <c r="I678" s="1" t="s">
        <v>67</v>
      </c>
      <c r="J678" s="1">
        <v>7</v>
      </c>
      <c r="K678" s="3">
        <v>600.67999999999995</v>
      </c>
      <c r="L678" s="4">
        <v>0.05</v>
      </c>
      <c r="M678" s="3">
        <v>3994.5</v>
      </c>
      <c r="N678" s="3">
        <v>960.07</v>
      </c>
    </row>
    <row r="679" spans="1:14" x14ac:dyDescent="0.45">
      <c r="A679" s="1" t="s">
        <v>745</v>
      </c>
      <c r="B679" s="2">
        <v>45828</v>
      </c>
      <c r="C679" s="1" t="s">
        <v>48</v>
      </c>
      <c r="D679" s="1" t="s">
        <v>49</v>
      </c>
      <c r="E679" s="1" t="s">
        <v>45</v>
      </c>
      <c r="F679" s="1" t="s">
        <v>24</v>
      </c>
      <c r="G679" s="1" t="s">
        <v>18</v>
      </c>
      <c r="H679" s="1" t="s">
        <v>19</v>
      </c>
      <c r="I679" s="1" t="s">
        <v>39</v>
      </c>
      <c r="J679" s="1">
        <v>6</v>
      </c>
      <c r="K679" s="3">
        <v>378.68</v>
      </c>
      <c r="L679" s="4">
        <v>0</v>
      </c>
      <c r="M679" s="3">
        <v>2272.06</v>
      </c>
      <c r="N679" s="3">
        <v>366.06</v>
      </c>
    </row>
    <row r="680" spans="1:14" x14ac:dyDescent="0.45">
      <c r="A680" s="1" t="s">
        <v>746</v>
      </c>
      <c r="B680" s="2">
        <v>45821</v>
      </c>
      <c r="C680" s="1" t="s">
        <v>14</v>
      </c>
      <c r="D680" s="1" t="s">
        <v>80</v>
      </c>
      <c r="E680" s="1" t="s">
        <v>53</v>
      </c>
      <c r="F680" s="1" t="s">
        <v>17</v>
      </c>
      <c r="G680" s="1" t="s">
        <v>66</v>
      </c>
      <c r="H680" s="1" t="s">
        <v>26</v>
      </c>
      <c r="I680" s="1" t="s">
        <v>20</v>
      </c>
      <c r="J680" s="1">
        <v>8</v>
      </c>
      <c r="K680" s="3">
        <v>479.09</v>
      </c>
      <c r="L680" s="4">
        <v>0.03</v>
      </c>
      <c r="M680" s="3">
        <v>3717.74</v>
      </c>
      <c r="N680" s="3">
        <v>787.9</v>
      </c>
    </row>
    <row r="681" spans="1:14" x14ac:dyDescent="0.45">
      <c r="A681" s="1" t="s">
        <v>747</v>
      </c>
      <c r="B681" s="2">
        <v>45831</v>
      </c>
      <c r="C681" s="1" t="s">
        <v>29</v>
      </c>
      <c r="D681" s="1" t="s">
        <v>37</v>
      </c>
      <c r="E681" s="1" t="s">
        <v>23</v>
      </c>
      <c r="F681" s="1" t="s">
        <v>32</v>
      </c>
      <c r="G681" s="1" t="s">
        <v>18</v>
      </c>
      <c r="H681" s="1" t="s">
        <v>19</v>
      </c>
      <c r="I681" s="1" t="s">
        <v>39</v>
      </c>
      <c r="J681" s="1">
        <v>7</v>
      </c>
      <c r="K681" s="3">
        <v>90.68</v>
      </c>
      <c r="L681" s="4">
        <v>0.05</v>
      </c>
      <c r="M681" s="3">
        <v>603.02</v>
      </c>
      <c r="N681" s="3">
        <v>126.4</v>
      </c>
    </row>
    <row r="682" spans="1:14" x14ac:dyDescent="0.45">
      <c r="A682" s="1" t="s">
        <v>748</v>
      </c>
      <c r="B682" s="2">
        <v>45832</v>
      </c>
      <c r="C682" s="1" t="s">
        <v>14</v>
      </c>
      <c r="D682" s="1" t="s">
        <v>22</v>
      </c>
      <c r="E682" s="1" t="s">
        <v>38</v>
      </c>
      <c r="F682" s="1" t="s">
        <v>17</v>
      </c>
      <c r="G682" s="1" t="s">
        <v>33</v>
      </c>
      <c r="H682" s="1" t="s">
        <v>34</v>
      </c>
      <c r="I682" s="1" t="s">
        <v>20</v>
      </c>
      <c r="J682" s="1">
        <v>1</v>
      </c>
      <c r="K682" s="3">
        <v>1760.83</v>
      </c>
      <c r="L682" s="4">
        <v>0</v>
      </c>
      <c r="M682" s="3">
        <v>1760.83</v>
      </c>
      <c r="N682" s="3">
        <v>283.2</v>
      </c>
    </row>
    <row r="683" spans="1:14" x14ac:dyDescent="0.45">
      <c r="A683" s="1" t="s">
        <v>749</v>
      </c>
      <c r="B683" s="2">
        <v>45812</v>
      </c>
      <c r="C683" s="1" t="s">
        <v>14</v>
      </c>
      <c r="D683" s="1" t="s">
        <v>80</v>
      </c>
      <c r="E683" s="1" t="s">
        <v>73</v>
      </c>
      <c r="F683" s="1" t="s">
        <v>32</v>
      </c>
      <c r="G683" s="1" t="s">
        <v>46</v>
      </c>
      <c r="H683" s="1" t="s">
        <v>26</v>
      </c>
      <c r="I683" s="1" t="s">
        <v>39</v>
      </c>
      <c r="J683" s="1">
        <v>8</v>
      </c>
      <c r="K683" s="3">
        <v>387.23</v>
      </c>
      <c r="L683" s="4">
        <v>0.1</v>
      </c>
      <c r="M683" s="3">
        <v>2788.06</v>
      </c>
      <c r="N683" s="3">
        <v>680.15</v>
      </c>
    </row>
    <row r="684" spans="1:14" x14ac:dyDescent="0.45">
      <c r="A684" s="1" t="s">
        <v>750</v>
      </c>
      <c r="B684" s="2">
        <v>45810</v>
      </c>
      <c r="C684" s="1" t="s">
        <v>14</v>
      </c>
      <c r="D684" s="1" t="s">
        <v>80</v>
      </c>
      <c r="E684" s="1" t="s">
        <v>45</v>
      </c>
      <c r="F684" s="1" t="s">
        <v>24</v>
      </c>
      <c r="G684" s="1" t="s">
        <v>33</v>
      </c>
      <c r="H684" s="1" t="s">
        <v>34</v>
      </c>
      <c r="I684" s="1" t="s">
        <v>67</v>
      </c>
      <c r="J684" s="1">
        <v>5</v>
      </c>
      <c r="K684" s="3">
        <v>485.14</v>
      </c>
      <c r="L684" s="4">
        <v>0.1</v>
      </c>
      <c r="M684" s="3">
        <v>2183.15</v>
      </c>
      <c r="N684" s="3">
        <v>415.93</v>
      </c>
    </row>
    <row r="685" spans="1:14" x14ac:dyDescent="0.45">
      <c r="A685" s="1" t="s">
        <v>751</v>
      </c>
      <c r="B685" s="2">
        <v>45813</v>
      </c>
      <c r="C685" s="1" t="s">
        <v>48</v>
      </c>
      <c r="D685" s="1" t="s">
        <v>78</v>
      </c>
      <c r="E685" s="1" t="s">
        <v>31</v>
      </c>
      <c r="F685" s="1" t="s">
        <v>17</v>
      </c>
      <c r="G685" s="1" t="s">
        <v>33</v>
      </c>
      <c r="H685" s="1" t="s">
        <v>34</v>
      </c>
      <c r="I685" s="1" t="s">
        <v>20</v>
      </c>
      <c r="J685" s="1">
        <v>8</v>
      </c>
      <c r="K685" s="3">
        <v>623.15</v>
      </c>
      <c r="L685" s="4">
        <v>0.03</v>
      </c>
      <c r="M685" s="3">
        <v>4835.63</v>
      </c>
      <c r="N685" s="3">
        <v>826.72</v>
      </c>
    </row>
    <row r="686" spans="1:14" x14ac:dyDescent="0.45">
      <c r="A686" s="1" t="s">
        <v>752</v>
      </c>
      <c r="B686" s="2">
        <v>45820</v>
      </c>
      <c r="C686" s="1" t="s">
        <v>29</v>
      </c>
      <c r="D686" s="1" t="s">
        <v>44</v>
      </c>
      <c r="E686" s="1" t="s">
        <v>63</v>
      </c>
      <c r="F686" s="1" t="s">
        <v>32</v>
      </c>
      <c r="G686" s="1" t="s">
        <v>74</v>
      </c>
      <c r="H686" s="1" t="s">
        <v>26</v>
      </c>
      <c r="I686" s="1" t="s">
        <v>20</v>
      </c>
      <c r="J686" s="1">
        <v>2</v>
      </c>
      <c r="K686" s="3">
        <v>31.42</v>
      </c>
      <c r="L686" s="4">
        <v>0.1</v>
      </c>
      <c r="M686" s="3">
        <v>56.55</v>
      </c>
      <c r="N686" s="3">
        <v>-20.86</v>
      </c>
    </row>
    <row r="687" spans="1:14" x14ac:dyDescent="0.45">
      <c r="A687" s="1" t="s">
        <v>753</v>
      </c>
      <c r="B687" s="2">
        <v>45835</v>
      </c>
      <c r="C687" s="1" t="s">
        <v>48</v>
      </c>
      <c r="D687" s="1" t="s">
        <v>78</v>
      </c>
      <c r="E687" s="1" t="s">
        <v>53</v>
      </c>
      <c r="F687" s="1" t="s">
        <v>17</v>
      </c>
      <c r="G687" s="1" t="s">
        <v>54</v>
      </c>
      <c r="H687" s="1" t="s">
        <v>51</v>
      </c>
      <c r="I687" s="1" t="s">
        <v>42</v>
      </c>
      <c r="J687" s="1">
        <v>8</v>
      </c>
      <c r="K687" s="3">
        <v>614.29999999999995</v>
      </c>
      <c r="L687" s="4">
        <v>0.1</v>
      </c>
      <c r="M687" s="3">
        <v>4422.92</v>
      </c>
      <c r="N687" s="3">
        <v>1109.06</v>
      </c>
    </row>
    <row r="688" spans="1:14" x14ac:dyDescent="0.45">
      <c r="A688" s="1" t="s">
        <v>754</v>
      </c>
      <c r="B688" s="2">
        <v>45817</v>
      </c>
      <c r="C688" s="1" t="s">
        <v>14</v>
      </c>
      <c r="D688" s="1" t="s">
        <v>22</v>
      </c>
      <c r="E688" s="1" t="s">
        <v>65</v>
      </c>
      <c r="F688" s="1" t="s">
        <v>32</v>
      </c>
      <c r="G688" s="1" t="s">
        <v>54</v>
      </c>
      <c r="H688" s="1" t="s">
        <v>51</v>
      </c>
      <c r="I688" s="1" t="s">
        <v>27</v>
      </c>
      <c r="J688" s="1">
        <v>2</v>
      </c>
      <c r="K688" s="3">
        <v>1842.12</v>
      </c>
      <c r="L688" s="4">
        <v>7.0000000000000007E-2</v>
      </c>
      <c r="M688" s="3">
        <v>3426.34</v>
      </c>
      <c r="N688" s="3">
        <v>526.42999999999995</v>
      </c>
    </row>
    <row r="689" spans="1:14" x14ac:dyDescent="0.45">
      <c r="A689" s="1" t="s">
        <v>755</v>
      </c>
      <c r="B689" s="2">
        <v>45814</v>
      </c>
      <c r="C689" s="1" t="s">
        <v>14</v>
      </c>
      <c r="D689" s="1" t="s">
        <v>80</v>
      </c>
      <c r="E689" s="1" t="s">
        <v>106</v>
      </c>
      <c r="F689" s="1" t="s">
        <v>17</v>
      </c>
      <c r="G689" s="1" t="s">
        <v>66</v>
      </c>
      <c r="H689" s="1" t="s">
        <v>26</v>
      </c>
      <c r="I689" s="1" t="s">
        <v>20</v>
      </c>
      <c r="J689" s="1">
        <v>7</v>
      </c>
      <c r="K689" s="3">
        <v>473.27</v>
      </c>
      <c r="L689" s="4">
        <v>0.03</v>
      </c>
      <c r="M689" s="3">
        <v>3213.49</v>
      </c>
      <c r="N689" s="3">
        <v>630.84</v>
      </c>
    </row>
    <row r="690" spans="1:14" x14ac:dyDescent="0.45">
      <c r="A690" s="1" t="s">
        <v>756</v>
      </c>
      <c r="B690" s="2">
        <v>45832</v>
      </c>
      <c r="C690" s="1" t="s">
        <v>14</v>
      </c>
      <c r="D690" s="1" t="s">
        <v>80</v>
      </c>
      <c r="E690" s="1" t="s">
        <v>31</v>
      </c>
      <c r="F690" s="1" t="s">
        <v>24</v>
      </c>
      <c r="G690" s="1" t="s">
        <v>57</v>
      </c>
      <c r="H690" s="1" t="s">
        <v>51</v>
      </c>
      <c r="I690" s="1" t="s">
        <v>35</v>
      </c>
      <c r="J690" s="1">
        <v>3</v>
      </c>
      <c r="K690" s="3">
        <v>392.94</v>
      </c>
      <c r="L690" s="4">
        <v>0</v>
      </c>
      <c r="M690" s="3">
        <v>1178.83</v>
      </c>
      <c r="N690" s="3">
        <v>216.51</v>
      </c>
    </row>
    <row r="691" spans="1:14" x14ac:dyDescent="0.45">
      <c r="A691" s="1" t="s">
        <v>757</v>
      </c>
      <c r="B691" s="2">
        <v>45828</v>
      </c>
      <c r="C691" s="1" t="s">
        <v>29</v>
      </c>
      <c r="D691" s="1" t="s">
        <v>44</v>
      </c>
      <c r="E691" s="1" t="s">
        <v>81</v>
      </c>
      <c r="F691" s="1" t="s">
        <v>24</v>
      </c>
      <c r="G691" s="1" t="s">
        <v>57</v>
      </c>
      <c r="H691" s="1" t="s">
        <v>51</v>
      </c>
      <c r="I691" s="1" t="s">
        <v>67</v>
      </c>
      <c r="J691" s="1">
        <v>15</v>
      </c>
      <c r="K691" s="3">
        <v>31.13</v>
      </c>
      <c r="L691" s="4">
        <v>0.05</v>
      </c>
      <c r="M691" s="3">
        <v>443.6</v>
      </c>
      <c r="N691" s="3">
        <v>58.22</v>
      </c>
    </row>
    <row r="692" spans="1:14" x14ac:dyDescent="0.45">
      <c r="A692" s="1" t="s">
        <v>758</v>
      </c>
      <c r="B692" s="2">
        <v>45832</v>
      </c>
      <c r="C692" s="1" t="s">
        <v>48</v>
      </c>
      <c r="D692" s="1" t="s">
        <v>91</v>
      </c>
      <c r="E692" s="1" t="s">
        <v>38</v>
      </c>
      <c r="F692" s="1" t="s">
        <v>24</v>
      </c>
      <c r="G692" s="1" t="s">
        <v>66</v>
      </c>
      <c r="H692" s="1" t="s">
        <v>26</v>
      </c>
      <c r="I692" s="1" t="s">
        <v>35</v>
      </c>
      <c r="J692" s="1">
        <v>8</v>
      </c>
      <c r="K692" s="3">
        <v>713.87</v>
      </c>
      <c r="L692" s="4">
        <v>0.1</v>
      </c>
      <c r="M692" s="3">
        <v>5139.84</v>
      </c>
      <c r="N692" s="3">
        <v>1096.98</v>
      </c>
    </row>
    <row r="693" spans="1:14" x14ac:dyDescent="0.45">
      <c r="A693" s="1" t="s">
        <v>759</v>
      </c>
      <c r="B693" s="2">
        <v>45821</v>
      </c>
      <c r="C693" s="1" t="s">
        <v>48</v>
      </c>
      <c r="D693" s="1" t="s">
        <v>78</v>
      </c>
      <c r="E693" s="1" t="s">
        <v>41</v>
      </c>
      <c r="F693" s="1" t="s">
        <v>32</v>
      </c>
      <c r="G693" s="1" t="s">
        <v>50</v>
      </c>
      <c r="H693" s="1" t="s">
        <v>51</v>
      </c>
      <c r="I693" s="1" t="s">
        <v>39</v>
      </c>
      <c r="J693" s="1">
        <v>7</v>
      </c>
      <c r="K693" s="3">
        <v>507.44</v>
      </c>
      <c r="L693" s="4">
        <v>0.05</v>
      </c>
      <c r="M693" s="3">
        <v>3374.48</v>
      </c>
      <c r="N693" s="3">
        <v>594.20000000000005</v>
      </c>
    </row>
    <row r="694" spans="1:14" x14ac:dyDescent="0.45">
      <c r="A694" s="1" t="s">
        <v>760</v>
      </c>
      <c r="B694" s="2">
        <v>45845</v>
      </c>
      <c r="C694" s="1" t="s">
        <v>48</v>
      </c>
      <c r="D694" s="1" t="s">
        <v>91</v>
      </c>
      <c r="E694" s="1" t="s">
        <v>87</v>
      </c>
      <c r="F694" s="1" t="s">
        <v>17</v>
      </c>
      <c r="G694" s="1" t="s">
        <v>18</v>
      </c>
      <c r="H694" s="1" t="s">
        <v>19</v>
      </c>
      <c r="I694" s="1" t="s">
        <v>67</v>
      </c>
      <c r="J694" s="1">
        <v>2</v>
      </c>
      <c r="K694" s="3">
        <v>663.03</v>
      </c>
      <c r="L694" s="4">
        <v>7.0000000000000007E-2</v>
      </c>
      <c r="M694" s="3">
        <v>1233.23</v>
      </c>
      <c r="N694" s="3">
        <v>135.4</v>
      </c>
    </row>
    <row r="695" spans="1:14" x14ac:dyDescent="0.45">
      <c r="A695" s="1" t="s">
        <v>761</v>
      </c>
      <c r="B695" s="2">
        <v>45847</v>
      </c>
      <c r="C695" s="1" t="s">
        <v>29</v>
      </c>
      <c r="D695" s="1" t="s">
        <v>37</v>
      </c>
      <c r="E695" s="1" t="s">
        <v>81</v>
      </c>
      <c r="F695" s="1" t="s">
        <v>32</v>
      </c>
      <c r="G695" s="1" t="s">
        <v>74</v>
      </c>
      <c r="H695" s="1" t="s">
        <v>26</v>
      </c>
      <c r="I695" s="1" t="s">
        <v>35</v>
      </c>
      <c r="J695" s="1">
        <v>4</v>
      </c>
      <c r="K695" s="3">
        <v>90.02</v>
      </c>
      <c r="L695" s="4">
        <v>0</v>
      </c>
      <c r="M695" s="3">
        <v>360.06</v>
      </c>
      <c r="N695" s="3">
        <v>21.82</v>
      </c>
    </row>
    <row r="696" spans="1:14" x14ac:dyDescent="0.45">
      <c r="A696" s="1" t="s">
        <v>762</v>
      </c>
      <c r="B696" s="2">
        <v>45867</v>
      </c>
      <c r="C696" s="1" t="s">
        <v>14</v>
      </c>
      <c r="D696" s="1" t="s">
        <v>80</v>
      </c>
      <c r="E696" s="1" t="s">
        <v>41</v>
      </c>
      <c r="F696" s="1" t="s">
        <v>32</v>
      </c>
      <c r="G696" s="1" t="s">
        <v>54</v>
      </c>
      <c r="H696" s="1" t="s">
        <v>51</v>
      </c>
      <c r="I696" s="1" t="s">
        <v>42</v>
      </c>
      <c r="J696" s="1">
        <v>5</v>
      </c>
      <c r="K696" s="3">
        <v>471.11</v>
      </c>
      <c r="L696" s="4">
        <v>0.1</v>
      </c>
      <c r="M696" s="3">
        <v>2119.9899999999998</v>
      </c>
      <c r="N696" s="3">
        <v>366.33</v>
      </c>
    </row>
    <row r="697" spans="1:14" x14ac:dyDescent="0.45">
      <c r="A697" s="1" t="s">
        <v>763</v>
      </c>
      <c r="B697" s="2">
        <v>45856</v>
      </c>
      <c r="C697" s="1" t="s">
        <v>29</v>
      </c>
      <c r="D697" s="1" t="s">
        <v>44</v>
      </c>
      <c r="E697" s="1" t="s">
        <v>95</v>
      </c>
      <c r="F697" s="1" t="s">
        <v>17</v>
      </c>
      <c r="G697" s="1" t="s">
        <v>33</v>
      </c>
      <c r="H697" s="1" t="s">
        <v>34</v>
      </c>
      <c r="I697" s="1" t="s">
        <v>27</v>
      </c>
      <c r="J697" s="1">
        <v>10</v>
      </c>
      <c r="K697" s="3">
        <v>40.46</v>
      </c>
      <c r="L697" s="4">
        <v>0</v>
      </c>
      <c r="M697" s="3">
        <v>404.56</v>
      </c>
      <c r="N697" s="3">
        <v>65.58</v>
      </c>
    </row>
    <row r="698" spans="1:14" x14ac:dyDescent="0.45">
      <c r="A698" s="1" t="s">
        <v>764</v>
      </c>
      <c r="B698" s="2">
        <v>45867</v>
      </c>
      <c r="C698" s="1" t="s">
        <v>14</v>
      </c>
      <c r="D698" s="1" t="s">
        <v>22</v>
      </c>
      <c r="E698" s="1" t="s">
        <v>69</v>
      </c>
      <c r="F698" s="1" t="s">
        <v>32</v>
      </c>
      <c r="G698" s="1" t="s">
        <v>33</v>
      </c>
      <c r="H698" s="1" t="s">
        <v>34</v>
      </c>
      <c r="I698" s="1" t="s">
        <v>42</v>
      </c>
      <c r="J698" s="1">
        <v>7</v>
      </c>
      <c r="K698" s="3">
        <v>1805.4</v>
      </c>
      <c r="L698" s="4">
        <v>0.1</v>
      </c>
      <c r="M698" s="3">
        <v>11374.03</v>
      </c>
      <c r="N698" s="3">
        <v>2127.52</v>
      </c>
    </row>
    <row r="699" spans="1:14" x14ac:dyDescent="0.45">
      <c r="A699" s="1" t="s">
        <v>765</v>
      </c>
      <c r="B699" s="2">
        <v>45848</v>
      </c>
      <c r="C699" s="1" t="s">
        <v>48</v>
      </c>
      <c r="D699" s="1" t="s">
        <v>91</v>
      </c>
      <c r="E699" s="1" t="s">
        <v>65</v>
      </c>
      <c r="F699" s="1" t="s">
        <v>17</v>
      </c>
      <c r="G699" s="1" t="s">
        <v>61</v>
      </c>
      <c r="H699" s="1" t="s">
        <v>51</v>
      </c>
      <c r="I699" s="1" t="s">
        <v>20</v>
      </c>
      <c r="J699" s="1">
        <v>3</v>
      </c>
      <c r="K699" s="3">
        <v>619.61</v>
      </c>
      <c r="L699" s="4">
        <v>0</v>
      </c>
      <c r="M699" s="3">
        <v>1858.84</v>
      </c>
      <c r="N699" s="3">
        <v>328.88</v>
      </c>
    </row>
    <row r="700" spans="1:14" x14ac:dyDescent="0.45">
      <c r="A700" s="1" t="s">
        <v>766</v>
      </c>
      <c r="B700" s="2">
        <v>45860</v>
      </c>
      <c r="C700" s="1" t="s">
        <v>14</v>
      </c>
      <c r="D700" s="1" t="s">
        <v>22</v>
      </c>
      <c r="E700" s="1" t="s">
        <v>56</v>
      </c>
      <c r="F700" s="1" t="s">
        <v>24</v>
      </c>
      <c r="G700" s="1" t="s">
        <v>57</v>
      </c>
      <c r="H700" s="1" t="s">
        <v>51</v>
      </c>
      <c r="I700" s="1" t="s">
        <v>20</v>
      </c>
      <c r="J700" s="1">
        <v>7</v>
      </c>
      <c r="K700" s="3">
        <v>1499.21</v>
      </c>
      <c r="L700" s="4">
        <v>7.0000000000000007E-2</v>
      </c>
      <c r="M700" s="3">
        <v>9759.83</v>
      </c>
      <c r="N700" s="3">
        <v>1474.47</v>
      </c>
    </row>
    <row r="701" spans="1:14" x14ac:dyDescent="0.45">
      <c r="A701" s="1" t="s">
        <v>767</v>
      </c>
      <c r="B701" s="2">
        <v>45860</v>
      </c>
      <c r="C701" s="1" t="s">
        <v>14</v>
      </c>
      <c r="D701" s="1" t="s">
        <v>80</v>
      </c>
      <c r="E701" s="1" t="s">
        <v>106</v>
      </c>
      <c r="F701" s="1" t="s">
        <v>17</v>
      </c>
      <c r="G701" s="1" t="s">
        <v>61</v>
      </c>
      <c r="H701" s="1" t="s">
        <v>51</v>
      </c>
      <c r="I701" s="1" t="s">
        <v>20</v>
      </c>
      <c r="J701" s="1">
        <v>3</v>
      </c>
      <c r="K701" s="3">
        <v>448.78</v>
      </c>
      <c r="L701" s="4">
        <v>0.05</v>
      </c>
      <c r="M701" s="3">
        <v>1279.02</v>
      </c>
      <c r="N701" s="3">
        <v>261.95</v>
      </c>
    </row>
    <row r="702" spans="1:14" x14ac:dyDescent="0.45">
      <c r="A702" s="1" t="s">
        <v>768</v>
      </c>
      <c r="B702" s="2">
        <v>45859</v>
      </c>
      <c r="C702" s="1" t="s">
        <v>48</v>
      </c>
      <c r="D702" s="1" t="s">
        <v>49</v>
      </c>
      <c r="E702" s="1" t="s">
        <v>65</v>
      </c>
      <c r="F702" s="1" t="s">
        <v>24</v>
      </c>
      <c r="G702" s="1" t="s">
        <v>25</v>
      </c>
      <c r="H702" s="1" t="s">
        <v>26</v>
      </c>
      <c r="I702" s="1" t="s">
        <v>39</v>
      </c>
      <c r="J702" s="1">
        <v>1</v>
      </c>
      <c r="K702" s="3">
        <v>351.74</v>
      </c>
      <c r="L702" s="4">
        <v>0</v>
      </c>
      <c r="M702" s="3">
        <v>351.74</v>
      </c>
      <c r="N702" s="3">
        <v>-16.7</v>
      </c>
    </row>
    <row r="703" spans="1:14" x14ac:dyDescent="0.45">
      <c r="A703" s="1" t="s">
        <v>769</v>
      </c>
      <c r="B703" s="2">
        <v>45867</v>
      </c>
      <c r="C703" s="1" t="s">
        <v>29</v>
      </c>
      <c r="D703" s="1" t="s">
        <v>37</v>
      </c>
      <c r="E703" s="1" t="s">
        <v>104</v>
      </c>
      <c r="F703" s="1" t="s">
        <v>24</v>
      </c>
      <c r="G703" s="1" t="s">
        <v>74</v>
      </c>
      <c r="H703" s="1" t="s">
        <v>26</v>
      </c>
      <c r="I703" s="1" t="s">
        <v>67</v>
      </c>
      <c r="J703" s="1">
        <v>11</v>
      </c>
      <c r="K703" s="3">
        <v>81.209999999999994</v>
      </c>
      <c r="L703" s="4">
        <v>0.05</v>
      </c>
      <c r="M703" s="3">
        <v>848.69</v>
      </c>
      <c r="N703" s="3">
        <v>141.85</v>
      </c>
    </row>
    <row r="704" spans="1:14" x14ac:dyDescent="0.45">
      <c r="A704" s="1" t="s">
        <v>770</v>
      </c>
      <c r="B704" s="2">
        <v>45859</v>
      </c>
      <c r="C704" s="1" t="s">
        <v>48</v>
      </c>
      <c r="D704" s="1" t="s">
        <v>91</v>
      </c>
      <c r="E704" s="1" t="s">
        <v>38</v>
      </c>
      <c r="F704" s="1" t="s">
        <v>24</v>
      </c>
      <c r="G704" s="1" t="s">
        <v>25</v>
      </c>
      <c r="H704" s="1" t="s">
        <v>26</v>
      </c>
      <c r="I704" s="1" t="s">
        <v>27</v>
      </c>
      <c r="J704" s="1">
        <v>7</v>
      </c>
      <c r="K704" s="3">
        <v>652.41</v>
      </c>
      <c r="L704" s="4">
        <v>7.0000000000000007E-2</v>
      </c>
      <c r="M704" s="3">
        <v>4247.21</v>
      </c>
      <c r="N704" s="3">
        <v>576.15</v>
      </c>
    </row>
    <row r="705" spans="1:14" x14ac:dyDescent="0.45">
      <c r="A705" s="1" t="s">
        <v>771</v>
      </c>
      <c r="B705" s="2">
        <v>45861</v>
      </c>
      <c r="C705" s="1" t="s">
        <v>29</v>
      </c>
      <c r="D705" s="1" t="s">
        <v>30</v>
      </c>
      <c r="E705" s="1" t="s">
        <v>104</v>
      </c>
      <c r="F705" s="1" t="s">
        <v>24</v>
      </c>
      <c r="G705" s="1" t="s">
        <v>57</v>
      </c>
      <c r="H705" s="1" t="s">
        <v>51</v>
      </c>
      <c r="I705" s="1" t="s">
        <v>35</v>
      </c>
      <c r="J705" s="1">
        <v>16</v>
      </c>
      <c r="K705" s="3">
        <v>52.94</v>
      </c>
      <c r="L705" s="4">
        <v>0</v>
      </c>
      <c r="M705" s="3">
        <v>847.02</v>
      </c>
      <c r="N705" s="3">
        <v>67.63</v>
      </c>
    </row>
    <row r="706" spans="1:14" x14ac:dyDescent="0.45">
      <c r="A706" s="1" t="s">
        <v>772</v>
      </c>
      <c r="B706" s="2">
        <v>45853</v>
      </c>
      <c r="C706" s="1" t="s">
        <v>29</v>
      </c>
      <c r="D706" s="1" t="s">
        <v>44</v>
      </c>
      <c r="E706" s="1" t="s">
        <v>23</v>
      </c>
      <c r="F706" s="1" t="s">
        <v>17</v>
      </c>
      <c r="G706" s="1" t="s">
        <v>25</v>
      </c>
      <c r="H706" s="1" t="s">
        <v>26</v>
      </c>
      <c r="I706" s="1" t="s">
        <v>67</v>
      </c>
      <c r="J706" s="1">
        <v>12</v>
      </c>
      <c r="K706" s="3">
        <v>36.79</v>
      </c>
      <c r="L706" s="4">
        <v>0.1</v>
      </c>
      <c r="M706" s="3">
        <v>397.37</v>
      </c>
      <c r="N706" s="3">
        <v>66.540000000000006</v>
      </c>
    </row>
    <row r="707" spans="1:14" x14ac:dyDescent="0.45">
      <c r="A707" s="1" t="s">
        <v>773</v>
      </c>
      <c r="B707" s="2">
        <v>45841</v>
      </c>
      <c r="C707" s="1" t="s">
        <v>48</v>
      </c>
      <c r="D707" s="1" t="s">
        <v>78</v>
      </c>
      <c r="E707" s="1" t="s">
        <v>31</v>
      </c>
      <c r="F707" s="1" t="s">
        <v>24</v>
      </c>
      <c r="G707" s="1" t="s">
        <v>61</v>
      </c>
      <c r="H707" s="1" t="s">
        <v>51</v>
      </c>
      <c r="I707" s="1" t="s">
        <v>42</v>
      </c>
      <c r="J707" s="1">
        <v>6</v>
      </c>
      <c r="K707" s="3">
        <v>571.92999999999995</v>
      </c>
      <c r="L707" s="4">
        <v>0</v>
      </c>
      <c r="M707" s="3">
        <v>3431.58</v>
      </c>
      <c r="N707" s="3">
        <v>786.57</v>
      </c>
    </row>
    <row r="708" spans="1:14" x14ac:dyDescent="0.45">
      <c r="A708" s="1" t="s">
        <v>774</v>
      </c>
      <c r="B708" s="2">
        <v>45849</v>
      </c>
      <c r="C708" s="1" t="s">
        <v>48</v>
      </c>
      <c r="D708" s="1" t="s">
        <v>91</v>
      </c>
      <c r="E708" s="1" t="s">
        <v>45</v>
      </c>
      <c r="F708" s="1" t="s">
        <v>17</v>
      </c>
      <c r="G708" s="1" t="s">
        <v>33</v>
      </c>
      <c r="H708" s="1" t="s">
        <v>34</v>
      </c>
      <c r="I708" s="1" t="s">
        <v>20</v>
      </c>
      <c r="J708" s="1">
        <v>8</v>
      </c>
      <c r="K708" s="3">
        <v>674.99</v>
      </c>
      <c r="L708" s="4">
        <v>0.05</v>
      </c>
      <c r="M708" s="3">
        <v>5129.96</v>
      </c>
      <c r="N708" s="3">
        <v>1174.42</v>
      </c>
    </row>
    <row r="709" spans="1:14" x14ac:dyDescent="0.45">
      <c r="A709" s="1" t="s">
        <v>775</v>
      </c>
      <c r="B709" s="2">
        <v>45840</v>
      </c>
      <c r="C709" s="1" t="s">
        <v>14</v>
      </c>
      <c r="D709" s="1" t="s">
        <v>15</v>
      </c>
      <c r="E709" s="1" t="s">
        <v>106</v>
      </c>
      <c r="F709" s="1" t="s">
        <v>32</v>
      </c>
      <c r="G709" s="1" t="s">
        <v>54</v>
      </c>
      <c r="H709" s="1" t="s">
        <v>51</v>
      </c>
      <c r="I709" s="1" t="s">
        <v>35</v>
      </c>
      <c r="J709" s="1">
        <v>13</v>
      </c>
      <c r="K709" s="3">
        <v>123.86</v>
      </c>
      <c r="L709" s="4">
        <v>0</v>
      </c>
      <c r="M709" s="3">
        <v>1610.18</v>
      </c>
      <c r="N709" s="3">
        <v>410.77</v>
      </c>
    </row>
    <row r="710" spans="1:14" x14ac:dyDescent="0.45">
      <c r="A710" s="1" t="s">
        <v>776</v>
      </c>
      <c r="B710" s="2">
        <v>45895</v>
      </c>
      <c r="C710" s="1" t="s">
        <v>29</v>
      </c>
      <c r="D710" s="1" t="s">
        <v>44</v>
      </c>
      <c r="E710" s="1" t="s">
        <v>104</v>
      </c>
      <c r="F710" s="1" t="s">
        <v>17</v>
      </c>
      <c r="G710" s="1" t="s">
        <v>66</v>
      </c>
      <c r="H710" s="1" t="s">
        <v>26</v>
      </c>
      <c r="I710" s="1" t="s">
        <v>27</v>
      </c>
      <c r="J710" s="1">
        <v>9</v>
      </c>
      <c r="K710" s="3">
        <v>37.81</v>
      </c>
      <c r="L710" s="4">
        <v>0.03</v>
      </c>
      <c r="M710" s="3">
        <v>330.06</v>
      </c>
      <c r="N710" s="3">
        <v>24.36</v>
      </c>
    </row>
    <row r="711" spans="1:14" x14ac:dyDescent="0.45">
      <c r="A711" s="1" t="s">
        <v>777</v>
      </c>
      <c r="B711" s="2">
        <v>45875</v>
      </c>
      <c r="C711" s="1" t="s">
        <v>29</v>
      </c>
      <c r="D711" s="1" t="s">
        <v>30</v>
      </c>
      <c r="E711" s="1" t="s">
        <v>104</v>
      </c>
      <c r="F711" s="1" t="s">
        <v>24</v>
      </c>
      <c r="G711" s="1" t="s">
        <v>50</v>
      </c>
      <c r="H711" s="1" t="s">
        <v>51</v>
      </c>
      <c r="I711" s="1" t="s">
        <v>27</v>
      </c>
      <c r="J711" s="1">
        <v>3</v>
      </c>
      <c r="K711" s="3">
        <v>60.3</v>
      </c>
      <c r="L711" s="4">
        <v>0.05</v>
      </c>
      <c r="M711" s="3">
        <v>171.85</v>
      </c>
      <c r="N711" s="3">
        <v>-25.15</v>
      </c>
    </row>
    <row r="712" spans="1:14" x14ac:dyDescent="0.45">
      <c r="A712" s="1" t="s">
        <v>778</v>
      </c>
      <c r="B712" s="2">
        <v>45887</v>
      </c>
      <c r="C712" s="1" t="s">
        <v>14</v>
      </c>
      <c r="D712" s="1" t="s">
        <v>15</v>
      </c>
      <c r="E712" s="1" t="s">
        <v>63</v>
      </c>
      <c r="F712" s="1" t="s">
        <v>24</v>
      </c>
      <c r="G712" s="1" t="s">
        <v>74</v>
      </c>
      <c r="H712" s="1" t="s">
        <v>26</v>
      </c>
      <c r="I712" s="1" t="s">
        <v>27</v>
      </c>
      <c r="J712" s="1">
        <v>18</v>
      </c>
      <c r="K712" s="3">
        <v>96.62</v>
      </c>
      <c r="L712" s="4">
        <v>0.1</v>
      </c>
      <c r="M712" s="3">
        <v>1565.27</v>
      </c>
      <c r="N712" s="3">
        <v>374.98</v>
      </c>
    </row>
    <row r="713" spans="1:14" x14ac:dyDescent="0.45">
      <c r="A713" s="1" t="s">
        <v>779</v>
      </c>
      <c r="B713" s="2">
        <v>45880</v>
      </c>
      <c r="C713" s="1" t="s">
        <v>14</v>
      </c>
      <c r="D713" s="1" t="s">
        <v>15</v>
      </c>
      <c r="E713" s="1" t="s">
        <v>89</v>
      </c>
      <c r="F713" s="1" t="s">
        <v>24</v>
      </c>
      <c r="G713" s="1" t="s">
        <v>18</v>
      </c>
      <c r="H713" s="1" t="s">
        <v>19</v>
      </c>
      <c r="I713" s="1" t="s">
        <v>39</v>
      </c>
      <c r="J713" s="1">
        <v>5</v>
      </c>
      <c r="K713" s="3">
        <v>101.37</v>
      </c>
      <c r="L713" s="4">
        <v>0.03</v>
      </c>
      <c r="M713" s="3">
        <v>491.64</v>
      </c>
      <c r="N713" s="3">
        <v>101.79</v>
      </c>
    </row>
    <row r="714" spans="1:14" x14ac:dyDescent="0.45">
      <c r="A714" s="1" t="s">
        <v>780</v>
      </c>
      <c r="B714" s="2">
        <v>45889</v>
      </c>
      <c r="C714" s="1" t="s">
        <v>29</v>
      </c>
      <c r="D714" s="1" t="s">
        <v>44</v>
      </c>
      <c r="E714" s="1" t="s">
        <v>16</v>
      </c>
      <c r="F714" s="1" t="s">
        <v>32</v>
      </c>
      <c r="G714" s="1" t="s">
        <v>54</v>
      </c>
      <c r="H714" s="1" t="s">
        <v>51</v>
      </c>
      <c r="I714" s="1" t="s">
        <v>35</v>
      </c>
      <c r="J714" s="1">
        <v>11</v>
      </c>
      <c r="K714" s="3">
        <v>41.41</v>
      </c>
      <c r="L714" s="4">
        <v>0</v>
      </c>
      <c r="M714" s="3">
        <v>455.56</v>
      </c>
      <c r="N714" s="3">
        <v>33.479999999999997</v>
      </c>
    </row>
    <row r="715" spans="1:14" x14ac:dyDescent="0.45">
      <c r="A715" s="1" t="s">
        <v>781</v>
      </c>
      <c r="B715" s="2">
        <v>45890</v>
      </c>
      <c r="C715" s="1" t="s">
        <v>29</v>
      </c>
      <c r="D715" s="1" t="s">
        <v>37</v>
      </c>
      <c r="E715" s="1" t="s">
        <v>56</v>
      </c>
      <c r="F715" s="1" t="s">
        <v>24</v>
      </c>
      <c r="G715" s="1" t="s">
        <v>25</v>
      </c>
      <c r="H715" s="1" t="s">
        <v>26</v>
      </c>
      <c r="I715" s="1" t="s">
        <v>39</v>
      </c>
      <c r="J715" s="1">
        <v>9</v>
      </c>
      <c r="K715" s="3">
        <v>91.91</v>
      </c>
      <c r="L715" s="4">
        <v>0.05</v>
      </c>
      <c r="M715" s="3">
        <v>785.81</v>
      </c>
      <c r="N715" s="3">
        <v>132.36000000000001</v>
      </c>
    </row>
    <row r="716" spans="1:14" x14ac:dyDescent="0.45">
      <c r="A716" s="1" t="s">
        <v>782</v>
      </c>
      <c r="B716" s="2">
        <v>45884</v>
      </c>
      <c r="C716" s="1" t="s">
        <v>48</v>
      </c>
      <c r="D716" s="1" t="s">
        <v>78</v>
      </c>
      <c r="E716" s="1" t="s">
        <v>106</v>
      </c>
      <c r="F716" s="1" t="s">
        <v>32</v>
      </c>
      <c r="G716" s="1" t="s">
        <v>46</v>
      </c>
      <c r="H716" s="1" t="s">
        <v>26</v>
      </c>
      <c r="I716" s="1" t="s">
        <v>20</v>
      </c>
      <c r="J716" s="1">
        <v>1</v>
      </c>
      <c r="K716" s="3">
        <v>538.22</v>
      </c>
      <c r="L716" s="4">
        <v>7.0000000000000007E-2</v>
      </c>
      <c r="M716" s="3">
        <v>500.55</v>
      </c>
      <c r="N716" s="3">
        <v>102.87</v>
      </c>
    </row>
    <row r="717" spans="1:14" x14ac:dyDescent="0.45">
      <c r="A717" s="1" t="s">
        <v>783</v>
      </c>
      <c r="B717" s="2">
        <v>45894</v>
      </c>
      <c r="C717" s="1" t="s">
        <v>29</v>
      </c>
      <c r="D717" s="1" t="s">
        <v>30</v>
      </c>
      <c r="E717" s="1" t="s">
        <v>38</v>
      </c>
      <c r="F717" s="1" t="s">
        <v>32</v>
      </c>
      <c r="G717" s="1" t="s">
        <v>61</v>
      </c>
      <c r="H717" s="1" t="s">
        <v>51</v>
      </c>
      <c r="I717" s="1" t="s">
        <v>27</v>
      </c>
      <c r="J717" s="1">
        <v>6</v>
      </c>
      <c r="K717" s="3">
        <v>63.08</v>
      </c>
      <c r="L717" s="4">
        <v>0</v>
      </c>
      <c r="M717" s="3">
        <v>378.5</v>
      </c>
      <c r="N717" s="3">
        <v>19.72</v>
      </c>
    </row>
    <row r="718" spans="1:14" x14ac:dyDescent="0.45">
      <c r="A718" s="1" t="s">
        <v>784</v>
      </c>
      <c r="B718" s="2">
        <v>45897</v>
      </c>
      <c r="C718" s="1" t="s">
        <v>29</v>
      </c>
      <c r="D718" s="1" t="s">
        <v>44</v>
      </c>
      <c r="E718" s="1" t="s">
        <v>73</v>
      </c>
      <c r="F718" s="1" t="s">
        <v>32</v>
      </c>
      <c r="G718" s="1" t="s">
        <v>61</v>
      </c>
      <c r="H718" s="1" t="s">
        <v>51</v>
      </c>
      <c r="I718" s="1" t="s">
        <v>42</v>
      </c>
      <c r="J718" s="1">
        <v>12</v>
      </c>
      <c r="K718" s="3">
        <v>39.29</v>
      </c>
      <c r="L718" s="4">
        <v>0</v>
      </c>
      <c r="M718" s="3">
        <v>471.43</v>
      </c>
      <c r="N718" s="3">
        <v>50.79</v>
      </c>
    </row>
    <row r="719" spans="1:14" x14ac:dyDescent="0.45">
      <c r="A719" s="1" t="s">
        <v>785</v>
      </c>
      <c r="B719" s="2">
        <v>45883</v>
      </c>
      <c r="C719" s="1" t="s">
        <v>14</v>
      </c>
      <c r="D719" s="1" t="s">
        <v>15</v>
      </c>
      <c r="E719" s="1" t="s">
        <v>89</v>
      </c>
      <c r="F719" s="1" t="s">
        <v>24</v>
      </c>
      <c r="G719" s="1" t="s">
        <v>61</v>
      </c>
      <c r="H719" s="1" t="s">
        <v>51</v>
      </c>
      <c r="I719" s="1" t="s">
        <v>20</v>
      </c>
      <c r="J719" s="1">
        <v>16</v>
      </c>
      <c r="K719" s="3">
        <v>115.95</v>
      </c>
      <c r="L719" s="4">
        <v>0.1</v>
      </c>
      <c r="M719" s="3">
        <v>1669.66</v>
      </c>
      <c r="N719" s="3">
        <v>447.21</v>
      </c>
    </row>
    <row r="720" spans="1:14" x14ac:dyDescent="0.45">
      <c r="A720" s="1" t="s">
        <v>786</v>
      </c>
      <c r="B720" s="2">
        <v>45895</v>
      </c>
      <c r="C720" s="1" t="s">
        <v>14</v>
      </c>
      <c r="D720" s="1" t="s">
        <v>22</v>
      </c>
      <c r="E720" s="1" t="s">
        <v>53</v>
      </c>
      <c r="F720" s="1" t="s">
        <v>32</v>
      </c>
      <c r="G720" s="1" t="s">
        <v>50</v>
      </c>
      <c r="H720" s="1" t="s">
        <v>51</v>
      </c>
      <c r="I720" s="1" t="s">
        <v>42</v>
      </c>
      <c r="J720" s="1">
        <v>3</v>
      </c>
      <c r="K720" s="3">
        <v>1585.9</v>
      </c>
      <c r="L720" s="4">
        <v>7.0000000000000007E-2</v>
      </c>
      <c r="M720" s="3">
        <v>4424.6499999999996</v>
      </c>
      <c r="N720" s="3">
        <v>696.84</v>
      </c>
    </row>
    <row r="721" spans="1:14" x14ac:dyDescent="0.45">
      <c r="A721" s="1" t="s">
        <v>787</v>
      </c>
      <c r="B721" s="2">
        <v>45875</v>
      </c>
      <c r="C721" s="1" t="s">
        <v>29</v>
      </c>
      <c r="D721" s="1" t="s">
        <v>37</v>
      </c>
      <c r="E721" s="1" t="s">
        <v>45</v>
      </c>
      <c r="F721" s="1" t="s">
        <v>17</v>
      </c>
      <c r="G721" s="1" t="s">
        <v>46</v>
      </c>
      <c r="H721" s="1" t="s">
        <v>26</v>
      </c>
      <c r="I721" s="1" t="s">
        <v>27</v>
      </c>
      <c r="J721" s="1">
        <v>10</v>
      </c>
      <c r="K721" s="3">
        <v>87.86</v>
      </c>
      <c r="L721" s="4">
        <v>0.03</v>
      </c>
      <c r="M721" s="3">
        <v>852.24</v>
      </c>
      <c r="N721" s="3">
        <v>141.26</v>
      </c>
    </row>
    <row r="722" spans="1:14" x14ac:dyDescent="0.45">
      <c r="A722" s="1" t="s">
        <v>788</v>
      </c>
      <c r="B722" s="2">
        <v>45896</v>
      </c>
      <c r="C722" s="1" t="s">
        <v>48</v>
      </c>
      <c r="D722" s="1" t="s">
        <v>49</v>
      </c>
      <c r="E722" s="1" t="s">
        <v>81</v>
      </c>
      <c r="F722" s="1" t="s">
        <v>24</v>
      </c>
      <c r="G722" s="1" t="s">
        <v>46</v>
      </c>
      <c r="H722" s="1" t="s">
        <v>26</v>
      </c>
      <c r="I722" s="1" t="s">
        <v>67</v>
      </c>
      <c r="J722" s="1">
        <v>6</v>
      </c>
      <c r="K722" s="3">
        <v>333.98</v>
      </c>
      <c r="L722" s="4">
        <v>0.1</v>
      </c>
      <c r="M722" s="3">
        <v>1803.51</v>
      </c>
      <c r="N722" s="3">
        <v>436.89</v>
      </c>
    </row>
    <row r="723" spans="1:14" x14ac:dyDescent="0.45">
      <c r="A723" s="1" t="s">
        <v>789</v>
      </c>
      <c r="B723" s="2">
        <v>45896</v>
      </c>
      <c r="C723" s="1" t="s">
        <v>48</v>
      </c>
      <c r="D723" s="1" t="s">
        <v>49</v>
      </c>
      <c r="E723" s="1" t="s">
        <v>53</v>
      </c>
      <c r="F723" s="1" t="s">
        <v>17</v>
      </c>
      <c r="G723" s="1" t="s">
        <v>57</v>
      </c>
      <c r="H723" s="1" t="s">
        <v>51</v>
      </c>
      <c r="I723" s="1" t="s">
        <v>42</v>
      </c>
      <c r="J723" s="1">
        <v>4</v>
      </c>
      <c r="K723" s="3">
        <v>337.93</v>
      </c>
      <c r="L723" s="4">
        <v>0.03</v>
      </c>
      <c r="M723" s="3">
        <v>1311.18</v>
      </c>
      <c r="N723" s="3">
        <v>222.2</v>
      </c>
    </row>
    <row r="724" spans="1:14" x14ac:dyDescent="0.45">
      <c r="A724" s="1" t="s">
        <v>790</v>
      </c>
      <c r="B724" s="2">
        <v>45890</v>
      </c>
      <c r="C724" s="1" t="s">
        <v>48</v>
      </c>
      <c r="D724" s="1" t="s">
        <v>49</v>
      </c>
      <c r="E724" s="1" t="s">
        <v>23</v>
      </c>
      <c r="F724" s="1" t="s">
        <v>24</v>
      </c>
      <c r="G724" s="1" t="s">
        <v>61</v>
      </c>
      <c r="H724" s="1" t="s">
        <v>51</v>
      </c>
      <c r="I724" s="1" t="s">
        <v>20</v>
      </c>
      <c r="J724" s="1">
        <v>2</v>
      </c>
      <c r="K724" s="3">
        <v>375.86</v>
      </c>
      <c r="L724" s="4">
        <v>7.0000000000000007E-2</v>
      </c>
      <c r="M724" s="3">
        <v>699.1</v>
      </c>
      <c r="N724" s="3">
        <v>37.4</v>
      </c>
    </row>
    <row r="725" spans="1:14" x14ac:dyDescent="0.45">
      <c r="A725" s="1" t="s">
        <v>791</v>
      </c>
      <c r="B725" s="2">
        <v>45917</v>
      </c>
      <c r="C725" s="1" t="s">
        <v>14</v>
      </c>
      <c r="D725" s="1" t="s">
        <v>15</v>
      </c>
      <c r="E725" s="1" t="s">
        <v>31</v>
      </c>
      <c r="F725" s="1" t="s">
        <v>17</v>
      </c>
      <c r="G725" s="1" t="s">
        <v>61</v>
      </c>
      <c r="H725" s="1" t="s">
        <v>51</v>
      </c>
      <c r="I725" s="1" t="s">
        <v>27</v>
      </c>
      <c r="J725" s="1">
        <v>3</v>
      </c>
      <c r="K725" s="3">
        <v>118.01</v>
      </c>
      <c r="L725" s="4">
        <v>0</v>
      </c>
      <c r="M725" s="3">
        <v>354.02</v>
      </c>
      <c r="N725" s="3">
        <v>30.91</v>
      </c>
    </row>
    <row r="726" spans="1:14" x14ac:dyDescent="0.45">
      <c r="A726" s="1" t="s">
        <v>792</v>
      </c>
      <c r="B726" s="2">
        <v>45922</v>
      </c>
      <c r="C726" s="1" t="s">
        <v>48</v>
      </c>
      <c r="D726" s="1" t="s">
        <v>78</v>
      </c>
      <c r="E726" s="1" t="s">
        <v>87</v>
      </c>
      <c r="F726" s="1" t="s">
        <v>24</v>
      </c>
      <c r="G726" s="1" t="s">
        <v>61</v>
      </c>
      <c r="H726" s="1" t="s">
        <v>51</v>
      </c>
      <c r="I726" s="1" t="s">
        <v>67</v>
      </c>
      <c r="J726" s="1">
        <v>7</v>
      </c>
      <c r="K726" s="3">
        <v>634.36</v>
      </c>
      <c r="L726" s="4">
        <v>7.0000000000000007E-2</v>
      </c>
      <c r="M726" s="3">
        <v>4129.6899999999996</v>
      </c>
      <c r="N726" s="3">
        <v>896.35</v>
      </c>
    </row>
    <row r="727" spans="1:14" x14ac:dyDescent="0.45">
      <c r="A727" s="1" t="s">
        <v>793</v>
      </c>
      <c r="B727" s="2">
        <v>45924</v>
      </c>
      <c r="C727" s="1" t="s">
        <v>48</v>
      </c>
      <c r="D727" s="1" t="s">
        <v>91</v>
      </c>
      <c r="E727" s="1" t="s">
        <v>45</v>
      </c>
      <c r="F727" s="1" t="s">
        <v>17</v>
      </c>
      <c r="G727" s="1" t="s">
        <v>61</v>
      </c>
      <c r="H727" s="1" t="s">
        <v>51</v>
      </c>
      <c r="I727" s="1" t="s">
        <v>67</v>
      </c>
      <c r="J727" s="1">
        <v>3</v>
      </c>
      <c r="K727" s="3">
        <v>727.97</v>
      </c>
      <c r="L727" s="4">
        <v>0.05</v>
      </c>
      <c r="M727" s="3">
        <v>2074.73</v>
      </c>
      <c r="N727" s="3">
        <v>250.1</v>
      </c>
    </row>
    <row r="728" spans="1:14" x14ac:dyDescent="0.45">
      <c r="A728" s="1" t="s">
        <v>794</v>
      </c>
      <c r="B728" s="2">
        <v>45919</v>
      </c>
      <c r="C728" s="1" t="s">
        <v>14</v>
      </c>
      <c r="D728" s="1" t="s">
        <v>15</v>
      </c>
      <c r="E728" s="1" t="s">
        <v>89</v>
      </c>
      <c r="F728" s="1" t="s">
        <v>32</v>
      </c>
      <c r="G728" s="1" t="s">
        <v>25</v>
      </c>
      <c r="H728" s="1" t="s">
        <v>26</v>
      </c>
      <c r="I728" s="1" t="s">
        <v>27</v>
      </c>
      <c r="J728" s="1">
        <v>7</v>
      </c>
      <c r="K728" s="3">
        <v>123.01</v>
      </c>
      <c r="L728" s="4">
        <v>0.03</v>
      </c>
      <c r="M728" s="3">
        <v>835.21</v>
      </c>
      <c r="N728" s="3">
        <v>247.78</v>
      </c>
    </row>
    <row r="729" spans="1:14" x14ac:dyDescent="0.45">
      <c r="A729" s="1" t="s">
        <v>795</v>
      </c>
      <c r="B729" s="2">
        <v>45923</v>
      </c>
      <c r="C729" s="1" t="s">
        <v>14</v>
      </c>
      <c r="D729" s="1" t="s">
        <v>22</v>
      </c>
      <c r="E729" s="1" t="s">
        <v>87</v>
      </c>
      <c r="F729" s="1" t="s">
        <v>32</v>
      </c>
      <c r="G729" s="1" t="s">
        <v>46</v>
      </c>
      <c r="H729" s="1" t="s">
        <v>26</v>
      </c>
      <c r="I729" s="1" t="s">
        <v>27</v>
      </c>
      <c r="J729" s="1">
        <v>3</v>
      </c>
      <c r="K729" s="3">
        <v>1519.72</v>
      </c>
      <c r="L729" s="4">
        <v>0.03</v>
      </c>
      <c r="M729" s="3">
        <v>4422.38</v>
      </c>
      <c r="N729" s="3">
        <v>953.7</v>
      </c>
    </row>
    <row r="730" spans="1:14" x14ac:dyDescent="0.45">
      <c r="A730" s="1" t="s">
        <v>796</v>
      </c>
      <c r="B730" s="2">
        <v>45902</v>
      </c>
      <c r="C730" s="1" t="s">
        <v>14</v>
      </c>
      <c r="D730" s="1" t="s">
        <v>22</v>
      </c>
      <c r="E730" s="1" t="s">
        <v>87</v>
      </c>
      <c r="F730" s="1" t="s">
        <v>32</v>
      </c>
      <c r="G730" s="1" t="s">
        <v>33</v>
      </c>
      <c r="H730" s="1" t="s">
        <v>34</v>
      </c>
      <c r="I730" s="1" t="s">
        <v>27</v>
      </c>
      <c r="J730" s="1">
        <v>5</v>
      </c>
      <c r="K730" s="3">
        <v>1987.7</v>
      </c>
      <c r="L730" s="4">
        <v>0</v>
      </c>
      <c r="M730" s="3">
        <v>9938.51</v>
      </c>
      <c r="N730" s="3">
        <v>1445.09</v>
      </c>
    </row>
    <row r="731" spans="1:14" x14ac:dyDescent="0.45">
      <c r="A731" s="1" t="s">
        <v>797</v>
      </c>
      <c r="B731" s="2">
        <v>45918</v>
      </c>
      <c r="C731" s="1" t="s">
        <v>14</v>
      </c>
      <c r="D731" s="1" t="s">
        <v>15</v>
      </c>
      <c r="E731" s="1" t="s">
        <v>41</v>
      </c>
      <c r="F731" s="1" t="s">
        <v>17</v>
      </c>
      <c r="G731" s="1" t="s">
        <v>46</v>
      </c>
      <c r="H731" s="1" t="s">
        <v>26</v>
      </c>
      <c r="I731" s="1" t="s">
        <v>39</v>
      </c>
      <c r="J731" s="1">
        <v>17</v>
      </c>
      <c r="K731" s="3">
        <v>110.23</v>
      </c>
      <c r="L731" s="4">
        <v>7.0000000000000007E-2</v>
      </c>
      <c r="M731" s="3">
        <v>1742.7</v>
      </c>
      <c r="N731" s="3">
        <v>460.2</v>
      </c>
    </row>
    <row r="732" spans="1:14" x14ac:dyDescent="0.45">
      <c r="A732" s="1" t="s">
        <v>798</v>
      </c>
      <c r="B732" s="2">
        <v>45916</v>
      </c>
      <c r="C732" s="1" t="s">
        <v>29</v>
      </c>
      <c r="D732" s="1" t="s">
        <v>37</v>
      </c>
      <c r="E732" s="1" t="s">
        <v>56</v>
      </c>
      <c r="F732" s="1" t="s">
        <v>17</v>
      </c>
      <c r="G732" s="1" t="s">
        <v>74</v>
      </c>
      <c r="H732" s="1" t="s">
        <v>26</v>
      </c>
      <c r="I732" s="1" t="s">
        <v>67</v>
      </c>
      <c r="J732" s="1">
        <v>16</v>
      </c>
      <c r="K732" s="3">
        <v>98.75</v>
      </c>
      <c r="L732" s="4">
        <v>0.1</v>
      </c>
      <c r="M732" s="3">
        <v>1421.98</v>
      </c>
      <c r="N732" s="3">
        <v>245.89</v>
      </c>
    </row>
    <row r="733" spans="1:14" x14ac:dyDescent="0.45">
      <c r="A733" s="1" t="s">
        <v>799</v>
      </c>
      <c r="B733" s="2">
        <v>45912</v>
      </c>
      <c r="C733" s="1" t="s">
        <v>14</v>
      </c>
      <c r="D733" s="1" t="s">
        <v>15</v>
      </c>
      <c r="E733" s="1" t="s">
        <v>31</v>
      </c>
      <c r="F733" s="1" t="s">
        <v>32</v>
      </c>
      <c r="G733" s="1" t="s">
        <v>74</v>
      </c>
      <c r="H733" s="1" t="s">
        <v>26</v>
      </c>
      <c r="I733" s="1" t="s">
        <v>20</v>
      </c>
      <c r="J733" s="1">
        <v>14</v>
      </c>
      <c r="K733" s="3">
        <v>105.59</v>
      </c>
      <c r="L733" s="4">
        <v>0</v>
      </c>
      <c r="M733" s="3">
        <v>1478.23</v>
      </c>
      <c r="N733" s="3">
        <v>384.45</v>
      </c>
    </row>
    <row r="734" spans="1:14" x14ac:dyDescent="0.45">
      <c r="A734" s="1" t="s">
        <v>800</v>
      </c>
      <c r="B734" s="2">
        <v>45929</v>
      </c>
      <c r="C734" s="1" t="s">
        <v>48</v>
      </c>
      <c r="D734" s="1" t="s">
        <v>49</v>
      </c>
      <c r="E734" s="1" t="s">
        <v>106</v>
      </c>
      <c r="F734" s="1" t="s">
        <v>24</v>
      </c>
      <c r="G734" s="1" t="s">
        <v>33</v>
      </c>
      <c r="H734" s="1" t="s">
        <v>34</v>
      </c>
      <c r="I734" s="1" t="s">
        <v>42</v>
      </c>
      <c r="J734" s="1">
        <v>5</v>
      </c>
      <c r="K734" s="3">
        <v>441.25</v>
      </c>
      <c r="L734" s="4">
        <v>0</v>
      </c>
      <c r="M734" s="3">
        <v>2206.2600000000002</v>
      </c>
      <c r="N734" s="3">
        <v>534.32000000000005</v>
      </c>
    </row>
    <row r="735" spans="1:14" x14ac:dyDescent="0.45">
      <c r="A735" s="1" t="s">
        <v>801</v>
      </c>
      <c r="B735" s="2">
        <v>45909</v>
      </c>
      <c r="C735" s="1" t="s">
        <v>48</v>
      </c>
      <c r="D735" s="1" t="s">
        <v>78</v>
      </c>
      <c r="E735" s="1" t="s">
        <v>87</v>
      </c>
      <c r="F735" s="1" t="s">
        <v>24</v>
      </c>
      <c r="G735" s="1" t="s">
        <v>54</v>
      </c>
      <c r="H735" s="1" t="s">
        <v>51</v>
      </c>
      <c r="I735" s="1" t="s">
        <v>20</v>
      </c>
      <c r="J735" s="1">
        <v>8</v>
      </c>
      <c r="K735" s="3">
        <v>671.79</v>
      </c>
      <c r="L735" s="4">
        <v>0</v>
      </c>
      <c r="M735" s="3">
        <v>5374.33</v>
      </c>
      <c r="N735" s="3">
        <v>946.64</v>
      </c>
    </row>
    <row r="736" spans="1:14" x14ac:dyDescent="0.45">
      <c r="A736" s="1" t="s">
        <v>802</v>
      </c>
      <c r="B736" s="2">
        <v>45903</v>
      </c>
      <c r="C736" s="1" t="s">
        <v>14</v>
      </c>
      <c r="D736" s="1" t="s">
        <v>80</v>
      </c>
      <c r="E736" s="1" t="s">
        <v>16</v>
      </c>
      <c r="F736" s="1" t="s">
        <v>24</v>
      </c>
      <c r="G736" s="1" t="s">
        <v>25</v>
      </c>
      <c r="H736" s="1" t="s">
        <v>26</v>
      </c>
      <c r="I736" s="1" t="s">
        <v>67</v>
      </c>
      <c r="J736" s="1">
        <v>8</v>
      </c>
      <c r="K736" s="3">
        <v>436.81</v>
      </c>
      <c r="L736" s="4">
        <v>7.0000000000000007E-2</v>
      </c>
      <c r="M736" s="3">
        <v>3249.84</v>
      </c>
      <c r="N736" s="3">
        <v>691.26</v>
      </c>
    </row>
    <row r="737" spans="1:14" x14ac:dyDescent="0.45">
      <c r="A737" s="1" t="s">
        <v>803</v>
      </c>
      <c r="B737" s="2">
        <v>45905</v>
      </c>
      <c r="C737" s="1" t="s">
        <v>29</v>
      </c>
      <c r="D737" s="1" t="s">
        <v>30</v>
      </c>
      <c r="E737" s="1" t="s">
        <v>31</v>
      </c>
      <c r="F737" s="1" t="s">
        <v>17</v>
      </c>
      <c r="G737" s="1" t="s">
        <v>46</v>
      </c>
      <c r="H737" s="1" t="s">
        <v>26</v>
      </c>
      <c r="I737" s="1" t="s">
        <v>39</v>
      </c>
      <c r="J737" s="1">
        <v>2</v>
      </c>
      <c r="K737" s="3">
        <v>60.65</v>
      </c>
      <c r="L737" s="4">
        <v>0.03</v>
      </c>
      <c r="M737" s="3">
        <v>117.66</v>
      </c>
      <c r="N737" s="3">
        <v>3.61</v>
      </c>
    </row>
    <row r="738" spans="1:14" x14ac:dyDescent="0.45">
      <c r="A738" s="1" t="s">
        <v>804</v>
      </c>
      <c r="B738" s="2">
        <v>45916</v>
      </c>
      <c r="C738" s="1" t="s">
        <v>48</v>
      </c>
      <c r="D738" s="1" t="s">
        <v>49</v>
      </c>
      <c r="E738" s="1" t="s">
        <v>56</v>
      </c>
      <c r="F738" s="1" t="s">
        <v>17</v>
      </c>
      <c r="G738" s="1" t="s">
        <v>18</v>
      </c>
      <c r="H738" s="1" t="s">
        <v>19</v>
      </c>
      <c r="I738" s="1" t="s">
        <v>35</v>
      </c>
      <c r="J738" s="1">
        <v>2</v>
      </c>
      <c r="K738" s="3">
        <v>365.42</v>
      </c>
      <c r="L738" s="4">
        <v>0.05</v>
      </c>
      <c r="M738" s="3">
        <v>694.3</v>
      </c>
      <c r="N738" s="3">
        <v>149.49</v>
      </c>
    </row>
    <row r="739" spans="1:14" x14ac:dyDescent="0.45">
      <c r="A739" s="1" t="s">
        <v>805</v>
      </c>
      <c r="B739" s="2">
        <v>45905</v>
      </c>
      <c r="C739" s="1" t="s">
        <v>14</v>
      </c>
      <c r="D739" s="1" t="s">
        <v>22</v>
      </c>
      <c r="E739" s="1" t="s">
        <v>65</v>
      </c>
      <c r="F739" s="1" t="s">
        <v>32</v>
      </c>
      <c r="G739" s="1" t="s">
        <v>54</v>
      </c>
      <c r="H739" s="1" t="s">
        <v>51</v>
      </c>
      <c r="I739" s="1" t="s">
        <v>27</v>
      </c>
      <c r="J739" s="1">
        <v>6</v>
      </c>
      <c r="K739" s="3">
        <v>1855.42</v>
      </c>
      <c r="L739" s="4">
        <v>0.03</v>
      </c>
      <c r="M739" s="3">
        <v>10798.54</v>
      </c>
      <c r="N739" s="3">
        <v>1629.19</v>
      </c>
    </row>
    <row r="740" spans="1:14" x14ac:dyDescent="0.45">
      <c r="A740" s="1" t="s">
        <v>806</v>
      </c>
      <c r="B740" s="2">
        <v>45903</v>
      </c>
      <c r="C740" s="1" t="s">
        <v>14</v>
      </c>
      <c r="D740" s="1" t="s">
        <v>22</v>
      </c>
      <c r="E740" s="1" t="s">
        <v>104</v>
      </c>
      <c r="F740" s="1" t="s">
        <v>24</v>
      </c>
      <c r="G740" s="1" t="s">
        <v>25</v>
      </c>
      <c r="H740" s="1" t="s">
        <v>26</v>
      </c>
      <c r="I740" s="1" t="s">
        <v>20</v>
      </c>
      <c r="J740" s="1">
        <v>8</v>
      </c>
      <c r="K740" s="3">
        <v>1706.05</v>
      </c>
      <c r="L740" s="4">
        <v>7.0000000000000007E-2</v>
      </c>
      <c r="M740" s="3">
        <v>12693</v>
      </c>
      <c r="N740" s="3">
        <v>2178.65</v>
      </c>
    </row>
    <row r="741" spans="1:14" x14ac:dyDescent="0.45">
      <c r="A741" s="1" t="s">
        <v>807</v>
      </c>
      <c r="B741" s="2">
        <v>45961</v>
      </c>
      <c r="C741" s="1" t="s">
        <v>29</v>
      </c>
      <c r="D741" s="1" t="s">
        <v>37</v>
      </c>
      <c r="E741" s="1" t="s">
        <v>41</v>
      </c>
      <c r="F741" s="1" t="s">
        <v>32</v>
      </c>
      <c r="G741" s="1" t="s">
        <v>61</v>
      </c>
      <c r="H741" s="1" t="s">
        <v>51</v>
      </c>
      <c r="I741" s="1" t="s">
        <v>27</v>
      </c>
      <c r="J741" s="1">
        <v>15</v>
      </c>
      <c r="K741" s="3">
        <v>105.25</v>
      </c>
      <c r="L741" s="4">
        <v>0</v>
      </c>
      <c r="M741" s="3">
        <v>1578.79</v>
      </c>
      <c r="N741" s="3">
        <v>248.47</v>
      </c>
    </row>
    <row r="742" spans="1:14" x14ac:dyDescent="0.45">
      <c r="A742" s="1" t="s">
        <v>808</v>
      </c>
      <c r="B742" s="2">
        <v>45937</v>
      </c>
      <c r="C742" s="1" t="s">
        <v>14</v>
      </c>
      <c r="D742" s="1" t="s">
        <v>22</v>
      </c>
      <c r="E742" s="1" t="s">
        <v>56</v>
      </c>
      <c r="F742" s="1" t="s">
        <v>32</v>
      </c>
      <c r="G742" s="1" t="s">
        <v>50</v>
      </c>
      <c r="H742" s="1" t="s">
        <v>51</v>
      </c>
      <c r="I742" s="1" t="s">
        <v>67</v>
      </c>
      <c r="J742" s="1">
        <v>7</v>
      </c>
      <c r="K742" s="3">
        <v>1628.8</v>
      </c>
      <c r="L742" s="4">
        <v>0.1</v>
      </c>
      <c r="M742" s="3">
        <v>10261.43</v>
      </c>
      <c r="N742" s="3">
        <v>1783.73</v>
      </c>
    </row>
    <row r="743" spans="1:14" x14ac:dyDescent="0.45">
      <c r="A743" s="1" t="s">
        <v>809</v>
      </c>
      <c r="B743" s="2">
        <v>45960</v>
      </c>
      <c r="C743" s="1" t="s">
        <v>29</v>
      </c>
      <c r="D743" s="1" t="s">
        <v>37</v>
      </c>
      <c r="E743" s="1" t="s">
        <v>16</v>
      </c>
      <c r="F743" s="1" t="s">
        <v>24</v>
      </c>
      <c r="G743" s="1" t="s">
        <v>33</v>
      </c>
      <c r="H743" s="1" t="s">
        <v>34</v>
      </c>
      <c r="I743" s="1" t="s">
        <v>39</v>
      </c>
      <c r="J743" s="1">
        <v>16</v>
      </c>
      <c r="K743" s="3">
        <v>104.08</v>
      </c>
      <c r="L743" s="4">
        <v>0.05</v>
      </c>
      <c r="M743" s="3">
        <v>1582.02</v>
      </c>
      <c r="N743" s="3">
        <v>364.75</v>
      </c>
    </row>
    <row r="744" spans="1:14" x14ac:dyDescent="0.45">
      <c r="A744" s="1" t="s">
        <v>810</v>
      </c>
      <c r="B744" s="2">
        <v>45939</v>
      </c>
      <c r="C744" s="1" t="s">
        <v>14</v>
      </c>
      <c r="D744" s="1" t="s">
        <v>22</v>
      </c>
      <c r="E744" s="1" t="s">
        <v>69</v>
      </c>
      <c r="F744" s="1" t="s">
        <v>32</v>
      </c>
      <c r="G744" s="1" t="s">
        <v>54</v>
      </c>
      <c r="H744" s="1" t="s">
        <v>51</v>
      </c>
      <c r="I744" s="1" t="s">
        <v>67</v>
      </c>
      <c r="J744" s="1">
        <v>5</v>
      </c>
      <c r="K744" s="3">
        <v>2007.53</v>
      </c>
      <c r="L744" s="4">
        <v>0.05</v>
      </c>
      <c r="M744" s="3">
        <v>9535.7800000000007</v>
      </c>
      <c r="N744" s="3">
        <v>2070.6999999999998</v>
      </c>
    </row>
    <row r="745" spans="1:14" x14ac:dyDescent="0.45">
      <c r="A745" s="1" t="s">
        <v>811</v>
      </c>
      <c r="B745" s="2">
        <v>45957</v>
      </c>
      <c r="C745" s="1" t="s">
        <v>48</v>
      </c>
      <c r="D745" s="1" t="s">
        <v>78</v>
      </c>
      <c r="E745" s="1" t="s">
        <v>38</v>
      </c>
      <c r="F745" s="1" t="s">
        <v>17</v>
      </c>
      <c r="G745" s="1" t="s">
        <v>18</v>
      </c>
      <c r="H745" s="1" t="s">
        <v>19</v>
      </c>
      <c r="I745" s="1" t="s">
        <v>42</v>
      </c>
      <c r="J745" s="1">
        <v>2</v>
      </c>
      <c r="K745" s="3">
        <v>543.5</v>
      </c>
      <c r="L745" s="4">
        <v>0.05</v>
      </c>
      <c r="M745" s="3">
        <v>1032.6500000000001</v>
      </c>
      <c r="N745" s="3">
        <v>140.61000000000001</v>
      </c>
    </row>
    <row r="746" spans="1:14" x14ac:dyDescent="0.45">
      <c r="A746" s="1" t="s">
        <v>812</v>
      </c>
      <c r="B746" s="2">
        <v>45946</v>
      </c>
      <c r="C746" s="1" t="s">
        <v>29</v>
      </c>
      <c r="D746" s="1" t="s">
        <v>44</v>
      </c>
      <c r="E746" s="1" t="s">
        <v>104</v>
      </c>
      <c r="F746" s="1" t="s">
        <v>24</v>
      </c>
      <c r="G746" s="1" t="s">
        <v>25</v>
      </c>
      <c r="H746" s="1" t="s">
        <v>26</v>
      </c>
      <c r="I746" s="1" t="s">
        <v>35</v>
      </c>
      <c r="J746" s="1">
        <v>12</v>
      </c>
      <c r="K746" s="3">
        <v>38.19</v>
      </c>
      <c r="L746" s="4">
        <v>0.1</v>
      </c>
      <c r="M746" s="3">
        <v>412.46</v>
      </c>
      <c r="N746" s="3">
        <v>56.38</v>
      </c>
    </row>
    <row r="747" spans="1:14" x14ac:dyDescent="0.45">
      <c r="A747" s="1" t="s">
        <v>813</v>
      </c>
      <c r="B747" s="2">
        <v>45931</v>
      </c>
      <c r="C747" s="1" t="s">
        <v>29</v>
      </c>
      <c r="D747" s="1" t="s">
        <v>30</v>
      </c>
      <c r="E747" s="1" t="s">
        <v>104</v>
      </c>
      <c r="F747" s="1" t="s">
        <v>32</v>
      </c>
      <c r="G747" s="1" t="s">
        <v>57</v>
      </c>
      <c r="H747" s="1" t="s">
        <v>51</v>
      </c>
      <c r="I747" s="1" t="s">
        <v>27</v>
      </c>
      <c r="J747" s="1">
        <v>6</v>
      </c>
      <c r="K747" s="3">
        <v>56.7</v>
      </c>
      <c r="L747" s="4">
        <v>0</v>
      </c>
      <c r="M747" s="3">
        <v>340.18</v>
      </c>
      <c r="N747" s="3">
        <v>49.25</v>
      </c>
    </row>
    <row r="748" spans="1:14" x14ac:dyDescent="0.45">
      <c r="A748" s="1" t="s">
        <v>814</v>
      </c>
      <c r="B748" s="2">
        <v>45960</v>
      </c>
      <c r="C748" s="1" t="s">
        <v>48</v>
      </c>
      <c r="D748" s="1" t="s">
        <v>49</v>
      </c>
      <c r="E748" s="1" t="s">
        <v>73</v>
      </c>
      <c r="F748" s="1" t="s">
        <v>24</v>
      </c>
      <c r="G748" s="1" t="s">
        <v>61</v>
      </c>
      <c r="H748" s="1" t="s">
        <v>51</v>
      </c>
      <c r="I748" s="1" t="s">
        <v>42</v>
      </c>
      <c r="J748" s="1">
        <v>8</v>
      </c>
      <c r="K748" s="3">
        <v>414.12</v>
      </c>
      <c r="L748" s="4">
        <v>7.0000000000000007E-2</v>
      </c>
      <c r="M748" s="3">
        <v>3081.03</v>
      </c>
      <c r="N748" s="3">
        <v>512.89</v>
      </c>
    </row>
    <row r="749" spans="1:14" x14ac:dyDescent="0.45">
      <c r="A749" s="1" t="s">
        <v>815</v>
      </c>
      <c r="B749" s="2">
        <v>45938</v>
      </c>
      <c r="C749" s="1" t="s">
        <v>14</v>
      </c>
      <c r="D749" s="1" t="s">
        <v>15</v>
      </c>
      <c r="E749" s="1" t="s">
        <v>89</v>
      </c>
      <c r="F749" s="1" t="s">
        <v>24</v>
      </c>
      <c r="G749" s="1" t="s">
        <v>54</v>
      </c>
      <c r="H749" s="1" t="s">
        <v>51</v>
      </c>
      <c r="I749" s="1" t="s">
        <v>27</v>
      </c>
      <c r="J749" s="1">
        <v>13</v>
      </c>
      <c r="K749" s="3">
        <v>138.91</v>
      </c>
      <c r="L749" s="4">
        <v>0.05</v>
      </c>
      <c r="M749" s="3">
        <v>1715.51</v>
      </c>
      <c r="N749" s="3">
        <v>507.62</v>
      </c>
    </row>
    <row r="750" spans="1:14" x14ac:dyDescent="0.45">
      <c r="A750" s="1" t="s">
        <v>816</v>
      </c>
      <c r="B750" s="2">
        <v>45947</v>
      </c>
      <c r="C750" s="1" t="s">
        <v>48</v>
      </c>
      <c r="D750" s="1" t="s">
        <v>49</v>
      </c>
      <c r="E750" s="1" t="s">
        <v>89</v>
      </c>
      <c r="F750" s="1" t="s">
        <v>32</v>
      </c>
      <c r="G750" s="1" t="s">
        <v>66</v>
      </c>
      <c r="H750" s="1" t="s">
        <v>26</v>
      </c>
      <c r="I750" s="1" t="s">
        <v>20</v>
      </c>
      <c r="J750" s="1">
        <v>8</v>
      </c>
      <c r="K750" s="3">
        <v>379.43</v>
      </c>
      <c r="L750" s="4">
        <v>0.1</v>
      </c>
      <c r="M750" s="3">
        <v>2731.91</v>
      </c>
      <c r="N750" s="3">
        <v>493.92</v>
      </c>
    </row>
    <row r="751" spans="1:14" x14ac:dyDescent="0.45">
      <c r="A751" s="1" t="s">
        <v>817</v>
      </c>
      <c r="B751" s="2">
        <v>45959</v>
      </c>
      <c r="C751" s="1" t="s">
        <v>14</v>
      </c>
      <c r="D751" s="1" t="s">
        <v>22</v>
      </c>
      <c r="E751" s="1" t="s">
        <v>65</v>
      </c>
      <c r="F751" s="1" t="s">
        <v>24</v>
      </c>
      <c r="G751" s="1" t="s">
        <v>74</v>
      </c>
      <c r="H751" s="1" t="s">
        <v>26</v>
      </c>
      <c r="I751" s="1" t="s">
        <v>20</v>
      </c>
      <c r="J751" s="1">
        <v>4</v>
      </c>
      <c r="K751" s="3">
        <v>1663.65</v>
      </c>
      <c r="L751" s="4">
        <v>0.03</v>
      </c>
      <c r="M751" s="3">
        <v>6454.98</v>
      </c>
      <c r="N751" s="3">
        <v>843.4</v>
      </c>
    </row>
    <row r="752" spans="1:14" x14ac:dyDescent="0.45">
      <c r="A752" s="1" t="s">
        <v>818</v>
      </c>
      <c r="B752" s="2">
        <v>45961</v>
      </c>
      <c r="C752" s="1" t="s">
        <v>14</v>
      </c>
      <c r="D752" s="1" t="s">
        <v>22</v>
      </c>
      <c r="E752" s="1" t="s">
        <v>60</v>
      </c>
      <c r="F752" s="1" t="s">
        <v>17</v>
      </c>
      <c r="G752" s="1" t="s">
        <v>25</v>
      </c>
      <c r="H752" s="1" t="s">
        <v>26</v>
      </c>
      <c r="I752" s="1" t="s">
        <v>35</v>
      </c>
      <c r="J752" s="1">
        <v>8</v>
      </c>
      <c r="K752" s="3">
        <v>1597.14</v>
      </c>
      <c r="L752" s="4">
        <v>0</v>
      </c>
      <c r="M752" s="3">
        <v>12777.11</v>
      </c>
      <c r="N752" s="3">
        <v>2457.5100000000002</v>
      </c>
    </row>
    <row r="753" spans="1:14" x14ac:dyDescent="0.45">
      <c r="A753" s="1" t="s">
        <v>819</v>
      </c>
      <c r="B753" s="2">
        <v>45944</v>
      </c>
      <c r="C753" s="1" t="s">
        <v>48</v>
      </c>
      <c r="D753" s="1" t="s">
        <v>78</v>
      </c>
      <c r="E753" s="1" t="s">
        <v>41</v>
      </c>
      <c r="F753" s="1" t="s">
        <v>24</v>
      </c>
      <c r="G753" s="1" t="s">
        <v>33</v>
      </c>
      <c r="H753" s="1" t="s">
        <v>34</v>
      </c>
      <c r="I753" s="1" t="s">
        <v>20</v>
      </c>
      <c r="J753" s="1">
        <v>2</v>
      </c>
      <c r="K753" s="3">
        <v>604.29</v>
      </c>
      <c r="L753" s="4">
        <v>7.0000000000000007E-2</v>
      </c>
      <c r="M753" s="3">
        <v>1123.98</v>
      </c>
      <c r="N753" s="3">
        <v>173.78</v>
      </c>
    </row>
    <row r="754" spans="1:14" x14ac:dyDescent="0.45">
      <c r="A754" s="1" t="s">
        <v>820</v>
      </c>
      <c r="B754" s="2">
        <v>45932</v>
      </c>
      <c r="C754" s="1" t="s">
        <v>14</v>
      </c>
      <c r="D754" s="1" t="s">
        <v>15</v>
      </c>
      <c r="E754" s="1" t="s">
        <v>73</v>
      </c>
      <c r="F754" s="1" t="s">
        <v>24</v>
      </c>
      <c r="G754" s="1" t="s">
        <v>54</v>
      </c>
      <c r="H754" s="1" t="s">
        <v>51</v>
      </c>
      <c r="I754" s="1" t="s">
        <v>35</v>
      </c>
      <c r="J754" s="1">
        <v>16</v>
      </c>
      <c r="K754" s="3">
        <v>121.38</v>
      </c>
      <c r="L754" s="4">
        <v>0.05</v>
      </c>
      <c r="M754" s="3">
        <v>1844.92</v>
      </c>
      <c r="N754" s="3">
        <v>452.65</v>
      </c>
    </row>
    <row r="755" spans="1:14" x14ac:dyDescent="0.45">
      <c r="A755" s="1" t="s">
        <v>821</v>
      </c>
      <c r="B755" s="2">
        <v>45940</v>
      </c>
      <c r="C755" s="1" t="s">
        <v>29</v>
      </c>
      <c r="D755" s="1" t="s">
        <v>44</v>
      </c>
      <c r="E755" s="1" t="s">
        <v>81</v>
      </c>
      <c r="F755" s="1" t="s">
        <v>17</v>
      </c>
      <c r="G755" s="1" t="s">
        <v>61</v>
      </c>
      <c r="H755" s="1" t="s">
        <v>51</v>
      </c>
      <c r="I755" s="1" t="s">
        <v>42</v>
      </c>
      <c r="J755" s="1">
        <v>18</v>
      </c>
      <c r="K755" s="3">
        <v>38.4</v>
      </c>
      <c r="L755" s="4">
        <v>0.03</v>
      </c>
      <c r="M755" s="3">
        <v>670.49</v>
      </c>
      <c r="N755" s="3">
        <v>119.61</v>
      </c>
    </row>
    <row r="756" spans="1:14" x14ac:dyDescent="0.45">
      <c r="A756" s="1" t="s">
        <v>822</v>
      </c>
      <c r="B756" s="2">
        <v>45931</v>
      </c>
      <c r="C756" s="1" t="s">
        <v>14</v>
      </c>
      <c r="D756" s="1" t="s">
        <v>80</v>
      </c>
      <c r="E756" s="1" t="s">
        <v>73</v>
      </c>
      <c r="F756" s="1" t="s">
        <v>32</v>
      </c>
      <c r="G756" s="1" t="s">
        <v>61</v>
      </c>
      <c r="H756" s="1" t="s">
        <v>51</v>
      </c>
      <c r="I756" s="1" t="s">
        <v>35</v>
      </c>
      <c r="J756" s="1">
        <v>1</v>
      </c>
      <c r="K756" s="3">
        <v>461.45</v>
      </c>
      <c r="L756" s="4">
        <v>0.03</v>
      </c>
      <c r="M756" s="3">
        <v>447.61</v>
      </c>
      <c r="N756" s="3">
        <v>-6.89</v>
      </c>
    </row>
    <row r="757" spans="1:14" x14ac:dyDescent="0.45">
      <c r="A757" s="1" t="s">
        <v>823</v>
      </c>
      <c r="B757" s="2">
        <v>45953</v>
      </c>
      <c r="C757" s="1" t="s">
        <v>48</v>
      </c>
      <c r="D757" s="1" t="s">
        <v>49</v>
      </c>
      <c r="E757" s="1" t="s">
        <v>41</v>
      </c>
      <c r="F757" s="1" t="s">
        <v>17</v>
      </c>
      <c r="G757" s="1" t="s">
        <v>61</v>
      </c>
      <c r="H757" s="1" t="s">
        <v>51</v>
      </c>
      <c r="I757" s="1" t="s">
        <v>20</v>
      </c>
      <c r="J757" s="1">
        <v>3</v>
      </c>
      <c r="K757" s="3">
        <v>390.12</v>
      </c>
      <c r="L757" s="4">
        <v>0</v>
      </c>
      <c r="M757" s="3">
        <v>1170.3599999999999</v>
      </c>
      <c r="N757" s="3">
        <v>263.89</v>
      </c>
    </row>
    <row r="758" spans="1:14" x14ac:dyDescent="0.45">
      <c r="A758" s="1" t="s">
        <v>824</v>
      </c>
      <c r="B758" s="2">
        <v>45954</v>
      </c>
      <c r="C758" s="1" t="s">
        <v>29</v>
      </c>
      <c r="D758" s="1" t="s">
        <v>30</v>
      </c>
      <c r="E758" s="1" t="s">
        <v>53</v>
      </c>
      <c r="F758" s="1" t="s">
        <v>32</v>
      </c>
      <c r="G758" s="1" t="s">
        <v>74</v>
      </c>
      <c r="H758" s="1" t="s">
        <v>26</v>
      </c>
      <c r="I758" s="1" t="s">
        <v>20</v>
      </c>
      <c r="J758" s="1">
        <v>5</v>
      </c>
      <c r="K758" s="3">
        <v>55.95</v>
      </c>
      <c r="L758" s="4">
        <v>0.03</v>
      </c>
      <c r="M758" s="3">
        <v>271.35000000000002</v>
      </c>
      <c r="N758" s="3">
        <v>1.81</v>
      </c>
    </row>
    <row r="759" spans="1:14" x14ac:dyDescent="0.45">
      <c r="A759" s="1" t="s">
        <v>825</v>
      </c>
      <c r="B759" s="2">
        <v>45981</v>
      </c>
      <c r="C759" s="1" t="s">
        <v>14</v>
      </c>
      <c r="D759" s="1" t="s">
        <v>15</v>
      </c>
      <c r="E759" s="1" t="s">
        <v>89</v>
      </c>
      <c r="F759" s="1" t="s">
        <v>17</v>
      </c>
      <c r="G759" s="1" t="s">
        <v>74</v>
      </c>
      <c r="H759" s="1" t="s">
        <v>26</v>
      </c>
      <c r="I759" s="1" t="s">
        <v>42</v>
      </c>
      <c r="J759" s="1">
        <v>16</v>
      </c>
      <c r="K759" s="3">
        <v>115.03</v>
      </c>
      <c r="L759" s="4">
        <v>0</v>
      </c>
      <c r="M759" s="3">
        <v>1840.46</v>
      </c>
      <c r="N759" s="3">
        <v>509.52</v>
      </c>
    </row>
    <row r="760" spans="1:14" x14ac:dyDescent="0.45">
      <c r="A760" s="1" t="s">
        <v>826</v>
      </c>
      <c r="B760" s="2">
        <v>45965</v>
      </c>
      <c r="C760" s="1" t="s">
        <v>29</v>
      </c>
      <c r="D760" s="1" t="s">
        <v>37</v>
      </c>
      <c r="E760" s="1" t="s">
        <v>56</v>
      </c>
      <c r="F760" s="1" t="s">
        <v>17</v>
      </c>
      <c r="G760" s="1" t="s">
        <v>66</v>
      </c>
      <c r="H760" s="1" t="s">
        <v>26</v>
      </c>
      <c r="I760" s="1" t="s">
        <v>39</v>
      </c>
      <c r="J760" s="1">
        <v>3</v>
      </c>
      <c r="K760" s="3">
        <v>109.84</v>
      </c>
      <c r="L760" s="4">
        <v>0.1</v>
      </c>
      <c r="M760" s="3">
        <v>296.56</v>
      </c>
      <c r="N760" s="3">
        <v>46.85</v>
      </c>
    </row>
    <row r="761" spans="1:14" x14ac:dyDescent="0.45">
      <c r="A761" s="1" t="s">
        <v>827</v>
      </c>
      <c r="B761" s="2">
        <v>45985</v>
      </c>
      <c r="C761" s="1" t="s">
        <v>48</v>
      </c>
      <c r="D761" s="1" t="s">
        <v>49</v>
      </c>
      <c r="E761" s="1" t="s">
        <v>60</v>
      </c>
      <c r="F761" s="1" t="s">
        <v>32</v>
      </c>
      <c r="G761" s="1" t="s">
        <v>18</v>
      </c>
      <c r="H761" s="1" t="s">
        <v>19</v>
      </c>
      <c r="I761" s="1" t="s">
        <v>27</v>
      </c>
      <c r="J761" s="1">
        <v>7</v>
      </c>
      <c r="K761" s="3">
        <v>389.42</v>
      </c>
      <c r="L761" s="4">
        <v>7.0000000000000007E-2</v>
      </c>
      <c r="M761" s="3">
        <v>2535.11</v>
      </c>
      <c r="N761" s="3">
        <v>589.92999999999995</v>
      </c>
    </row>
    <row r="762" spans="1:14" x14ac:dyDescent="0.45">
      <c r="A762" s="1" t="s">
        <v>828</v>
      </c>
      <c r="B762" s="2">
        <v>45979</v>
      </c>
      <c r="C762" s="1" t="s">
        <v>29</v>
      </c>
      <c r="D762" s="1" t="s">
        <v>44</v>
      </c>
      <c r="E762" s="1" t="s">
        <v>104</v>
      </c>
      <c r="F762" s="1" t="s">
        <v>24</v>
      </c>
      <c r="G762" s="1" t="s">
        <v>61</v>
      </c>
      <c r="H762" s="1" t="s">
        <v>51</v>
      </c>
      <c r="I762" s="1" t="s">
        <v>27</v>
      </c>
      <c r="J762" s="1">
        <v>12</v>
      </c>
      <c r="K762" s="3">
        <v>42.25</v>
      </c>
      <c r="L762" s="4">
        <v>0.1</v>
      </c>
      <c r="M762" s="3">
        <v>456.32</v>
      </c>
      <c r="N762" s="3">
        <v>67.900000000000006</v>
      </c>
    </row>
    <row r="763" spans="1:14" x14ac:dyDescent="0.45">
      <c r="A763" s="1" t="s">
        <v>829</v>
      </c>
      <c r="B763" s="2">
        <v>45987</v>
      </c>
      <c r="C763" s="1" t="s">
        <v>48</v>
      </c>
      <c r="D763" s="1" t="s">
        <v>49</v>
      </c>
      <c r="E763" s="1" t="s">
        <v>63</v>
      </c>
      <c r="F763" s="1" t="s">
        <v>17</v>
      </c>
      <c r="G763" s="1" t="s">
        <v>66</v>
      </c>
      <c r="H763" s="1" t="s">
        <v>26</v>
      </c>
      <c r="I763" s="1" t="s">
        <v>67</v>
      </c>
      <c r="J763" s="1">
        <v>2</v>
      </c>
      <c r="K763" s="3">
        <v>442.35</v>
      </c>
      <c r="L763" s="4">
        <v>0</v>
      </c>
      <c r="M763" s="3">
        <v>884.7</v>
      </c>
      <c r="N763" s="3">
        <v>209.46</v>
      </c>
    </row>
    <row r="764" spans="1:14" x14ac:dyDescent="0.45">
      <c r="A764" s="1" t="s">
        <v>830</v>
      </c>
      <c r="B764" s="2">
        <v>45978</v>
      </c>
      <c r="C764" s="1" t="s">
        <v>29</v>
      </c>
      <c r="D764" s="1" t="s">
        <v>44</v>
      </c>
      <c r="E764" s="1" t="s">
        <v>69</v>
      </c>
      <c r="F764" s="1" t="s">
        <v>24</v>
      </c>
      <c r="G764" s="1" t="s">
        <v>61</v>
      </c>
      <c r="H764" s="1" t="s">
        <v>51</v>
      </c>
      <c r="I764" s="1" t="s">
        <v>67</v>
      </c>
      <c r="J764" s="1">
        <v>16</v>
      </c>
      <c r="K764" s="3">
        <v>39.58</v>
      </c>
      <c r="L764" s="4">
        <v>0</v>
      </c>
      <c r="M764" s="3">
        <v>633.35</v>
      </c>
      <c r="N764" s="3">
        <v>127.41</v>
      </c>
    </row>
    <row r="765" spans="1:14" x14ac:dyDescent="0.45">
      <c r="A765" s="1" t="s">
        <v>831</v>
      </c>
      <c r="B765" s="2">
        <v>45964</v>
      </c>
      <c r="C765" s="1" t="s">
        <v>48</v>
      </c>
      <c r="D765" s="1" t="s">
        <v>91</v>
      </c>
      <c r="E765" s="1" t="s">
        <v>92</v>
      </c>
      <c r="F765" s="1" t="s">
        <v>32</v>
      </c>
      <c r="G765" s="1" t="s">
        <v>50</v>
      </c>
      <c r="H765" s="1" t="s">
        <v>51</v>
      </c>
      <c r="I765" s="1" t="s">
        <v>67</v>
      </c>
      <c r="J765" s="1">
        <v>3</v>
      </c>
      <c r="K765" s="3">
        <v>696.55</v>
      </c>
      <c r="L765" s="4">
        <v>0.03</v>
      </c>
      <c r="M765" s="3">
        <v>2026.96</v>
      </c>
      <c r="N765" s="3">
        <v>375.9</v>
      </c>
    </row>
    <row r="766" spans="1:14" x14ac:dyDescent="0.45">
      <c r="A766" s="1" t="s">
        <v>832</v>
      </c>
      <c r="B766" s="2">
        <v>45973</v>
      </c>
      <c r="C766" s="1" t="s">
        <v>48</v>
      </c>
      <c r="D766" s="1" t="s">
        <v>78</v>
      </c>
      <c r="E766" s="1" t="s">
        <v>38</v>
      </c>
      <c r="F766" s="1" t="s">
        <v>17</v>
      </c>
      <c r="G766" s="1" t="s">
        <v>33</v>
      </c>
      <c r="H766" s="1" t="s">
        <v>34</v>
      </c>
      <c r="I766" s="1" t="s">
        <v>67</v>
      </c>
      <c r="J766" s="1">
        <v>1</v>
      </c>
      <c r="K766" s="3">
        <v>676.15</v>
      </c>
      <c r="L766" s="4">
        <v>0</v>
      </c>
      <c r="M766" s="3">
        <v>676.15</v>
      </c>
      <c r="N766" s="3">
        <v>89.23</v>
      </c>
    </row>
    <row r="767" spans="1:14" x14ac:dyDescent="0.45">
      <c r="A767" s="1" t="s">
        <v>833</v>
      </c>
      <c r="B767" s="2">
        <v>45979</v>
      </c>
      <c r="C767" s="1" t="s">
        <v>14</v>
      </c>
      <c r="D767" s="1" t="s">
        <v>80</v>
      </c>
      <c r="E767" s="1" t="s">
        <v>69</v>
      </c>
      <c r="F767" s="1" t="s">
        <v>24</v>
      </c>
      <c r="G767" s="1" t="s">
        <v>25</v>
      </c>
      <c r="H767" s="1" t="s">
        <v>26</v>
      </c>
      <c r="I767" s="1" t="s">
        <v>42</v>
      </c>
      <c r="J767" s="1">
        <v>8</v>
      </c>
      <c r="K767" s="3">
        <v>495.07</v>
      </c>
      <c r="L767" s="4">
        <v>0.03</v>
      </c>
      <c r="M767" s="3">
        <v>3841.77</v>
      </c>
      <c r="N767" s="3">
        <v>896.01</v>
      </c>
    </row>
    <row r="768" spans="1:14" x14ac:dyDescent="0.45">
      <c r="A768" s="1" t="s">
        <v>834</v>
      </c>
      <c r="B768" s="2">
        <v>45974</v>
      </c>
      <c r="C768" s="1" t="s">
        <v>48</v>
      </c>
      <c r="D768" s="1" t="s">
        <v>91</v>
      </c>
      <c r="E768" s="1" t="s">
        <v>53</v>
      </c>
      <c r="F768" s="1" t="s">
        <v>17</v>
      </c>
      <c r="G768" s="1" t="s">
        <v>61</v>
      </c>
      <c r="H768" s="1" t="s">
        <v>51</v>
      </c>
      <c r="I768" s="1" t="s">
        <v>27</v>
      </c>
      <c r="J768" s="1">
        <v>8</v>
      </c>
      <c r="K768" s="3">
        <v>808.67</v>
      </c>
      <c r="L768" s="4">
        <v>0</v>
      </c>
      <c r="M768" s="3">
        <v>6469.33</v>
      </c>
      <c r="N768" s="3">
        <v>1193.05</v>
      </c>
    </row>
    <row r="769" spans="1:14" x14ac:dyDescent="0.45">
      <c r="A769" s="1" t="s">
        <v>835</v>
      </c>
      <c r="B769" s="2">
        <v>45981</v>
      </c>
      <c r="C769" s="1" t="s">
        <v>48</v>
      </c>
      <c r="D769" s="1" t="s">
        <v>49</v>
      </c>
      <c r="E769" s="1" t="s">
        <v>104</v>
      </c>
      <c r="F769" s="1" t="s">
        <v>17</v>
      </c>
      <c r="G769" s="1" t="s">
        <v>57</v>
      </c>
      <c r="H769" s="1" t="s">
        <v>51</v>
      </c>
      <c r="I769" s="1" t="s">
        <v>20</v>
      </c>
      <c r="J769" s="1">
        <v>8</v>
      </c>
      <c r="K769" s="3">
        <v>396.65</v>
      </c>
      <c r="L769" s="4">
        <v>0.03</v>
      </c>
      <c r="M769" s="3">
        <v>3078.01</v>
      </c>
      <c r="N769" s="3">
        <v>771</v>
      </c>
    </row>
    <row r="770" spans="1:14" x14ac:dyDescent="0.45">
      <c r="A770" s="1" t="s">
        <v>836</v>
      </c>
      <c r="B770" s="2">
        <v>45980</v>
      </c>
      <c r="C770" s="1" t="s">
        <v>14</v>
      </c>
      <c r="D770" s="1" t="s">
        <v>22</v>
      </c>
      <c r="E770" s="1" t="s">
        <v>106</v>
      </c>
      <c r="F770" s="1" t="s">
        <v>17</v>
      </c>
      <c r="G770" s="1" t="s">
        <v>46</v>
      </c>
      <c r="H770" s="1" t="s">
        <v>26</v>
      </c>
      <c r="I770" s="1" t="s">
        <v>35</v>
      </c>
      <c r="J770" s="1">
        <v>1</v>
      </c>
      <c r="K770" s="3">
        <v>1703.53</v>
      </c>
      <c r="L770" s="4">
        <v>0</v>
      </c>
      <c r="M770" s="3">
        <v>1703.53</v>
      </c>
      <c r="N770" s="3">
        <v>235.69</v>
      </c>
    </row>
    <row r="771" spans="1:14" x14ac:dyDescent="0.45">
      <c r="A771" s="1" t="s">
        <v>837</v>
      </c>
      <c r="B771" s="2">
        <v>45974</v>
      </c>
      <c r="C771" s="1" t="s">
        <v>14</v>
      </c>
      <c r="D771" s="1" t="s">
        <v>22</v>
      </c>
      <c r="E771" s="1" t="s">
        <v>95</v>
      </c>
      <c r="F771" s="1" t="s">
        <v>32</v>
      </c>
      <c r="G771" s="1" t="s">
        <v>25</v>
      </c>
      <c r="H771" s="1" t="s">
        <v>26</v>
      </c>
      <c r="I771" s="1" t="s">
        <v>20</v>
      </c>
      <c r="J771" s="1">
        <v>4</v>
      </c>
      <c r="K771" s="3">
        <v>1891.2</v>
      </c>
      <c r="L771" s="4">
        <v>0.1</v>
      </c>
      <c r="M771" s="3">
        <v>6808.32</v>
      </c>
      <c r="N771" s="3">
        <v>937.49</v>
      </c>
    </row>
    <row r="772" spans="1:14" x14ac:dyDescent="0.45">
      <c r="A772" s="1" t="s">
        <v>838</v>
      </c>
      <c r="B772" s="2">
        <v>45967</v>
      </c>
      <c r="C772" s="1" t="s">
        <v>14</v>
      </c>
      <c r="D772" s="1" t="s">
        <v>22</v>
      </c>
      <c r="E772" s="1" t="s">
        <v>45</v>
      </c>
      <c r="F772" s="1" t="s">
        <v>32</v>
      </c>
      <c r="G772" s="1" t="s">
        <v>54</v>
      </c>
      <c r="H772" s="1" t="s">
        <v>51</v>
      </c>
      <c r="I772" s="1" t="s">
        <v>27</v>
      </c>
      <c r="J772" s="1">
        <v>1</v>
      </c>
      <c r="K772" s="3">
        <v>2151.2399999999998</v>
      </c>
      <c r="L772" s="4">
        <v>0</v>
      </c>
      <c r="M772" s="3">
        <v>2151.2399999999998</v>
      </c>
      <c r="N772" s="3">
        <v>258.98</v>
      </c>
    </row>
    <row r="773" spans="1:14" x14ac:dyDescent="0.45">
      <c r="A773" s="1" t="s">
        <v>839</v>
      </c>
      <c r="B773" s="2">
        <v>45982</v>
      </c>
      <c r="C773" s="1" t="s">
        <v>29</v>
      </c>
      <c r="D773" s="1" t="s">
        <v>30</v>
      </c>
      <c r="E773" s="1" t="s">
        <v>89</v>
      </c>
      <c r="F773" s="1" t="s">
        <v>17</v>
      </c>
      <c r="G773" s="1" t="s">
        <v>18</v>
      </c>
      <c r="H773" s="1" t="s">
        <v>19</v>
      </c>
      <c r="I773" s="1" t="s">
        <v>35</v>
      </c>
      <c r="J773" s="1">
        <v>13</v>
      </c>
      <c r="K773" s="3">
        <v>64.150000000000006</v>
      </c>
      <c r="L773" s="4">
        <v>7.0000000000000007E-2</v>
      </c>
      <c r="M773" s="3">
        <v>775.55</v>
      </c>
      <c r="N773" s="3">
        <v>101.38</v>
      </c>
    </row>
    <row r="774" spans="1:14" x14ac:dyDescent="0.45">
      <c r="A774" s="1" t="s">
        <v>840</v>
      </c>
      <c r="B774" s="2">
        <v>45974</v>
      </c>
      <c r="C774" s="1" t="s">
        <v>48</v>
      </c>
      <c r="D774" s="1" t="s">
        <v>49</v>
      </c>
      <c r="E774" s="1" t="s">
        <v>56</v>
      </c>
      <c r="F774" s="1" t="s">
        <v>17</v>
      </c>
      <c r="G774" s="1" t="s">
        <v>66</v>
      </c>
      <c r="H774" s="1" t="s">
        <v>26</v>
      </c>
      <c r="I774" s="1" t="s">
        <v>20</v>
      </c>
      <c r="J774" s="1">
        <v>4</v>
      </c>
      <c r="K774" s="3">
        <v>438.7</v>
      </c>
      <c r="L774" s="4">
        <v>0.1</v>
      </c>
      <c r="M774" s="3">
        <v>1579.32</v>
      </c>
      <c r="N774" s="3">
        <v>275.11</v>
      </c>
    </row>
    <row r="775" spans="1:14" x14ac:dyDescent="0.45">
      <c r="A775" s="1" t="s">
        <v>841</v>
      </c>
      <c r="B775" s="2">
        <v>45968</v>
      </c>
      <c r="C775" s="1" t="s">
        <v>14</v>
      </c>
      <c r="D775" s="1" t="s">
        <v>15</v>
      </c>
      <c r="E775" s="1" t="s">
        <v>95</v>
      </c>
      <c r="F775" s="1" t="s">
        <v>24</v>
      </c>
      <c r="G775" s="1" t="s">
        <v>74</v>
      </c>
      <c r="H775" s="1" t="s">
        <v>26</v>
      </c>
      <c r="I775" s="1" t="s">
        <v>35</v>
      </c>
      <c r="J775" s="1">
        <v>6</v>
      </c>
      <c r="K775" s="3">
        <v>111.07</v>
      </c>
      <c r="L775" s="4">
        <v>0</v>
      </c>
      <c r="M775" s="3">
        <v>666.39</v>
      </c>
      <c r="N775" s="3">
        <v>153.80000000000001</v>
      </c>
    </row>
    <row r="776" spans="1:14" x14ac:dyDescent="0.45">
      <c r="A776" s="1" t="s">
        <v>842</v>
      </c>
      <c r="B776" s="2">
        <v>46014</v>
      </c>
      <c r="C776" s="1" t="s">
        <v>14</v>
      </c>
      <c r="D776" s="1" t="s">
        <v>15</v>
      </c>
      <c r="E776" s="1" t="s">
        <v>69</v>
      </c>
      <c r="F776" s="1" t="s">
        <v>24</v>
      </c>
      <c r="G776" s="1" t="s">
        <v>66</v>
      </c>
      <c r="H776" s="1" t="s">
        <v>26</v>
      </c>
      <c r="I776" s="1" t="s">
        <v>67</v>
      </c>
      <c r="J776" s="1">
        <v>4</v>
      </c>
      <c r="K776" s="3">
        <v>126.24</v>
      </c>
      <c r="L776" s="4">
        <v>0.05</v>
      </c>
      <c r="M776" s="3">
        <v>479.73</v>
      </c>
      <c r="N776" s="3">
        <v>57.98</v>
      </c>
    </row>
    <row r="777" spans="1:14" x14ac:dyDescent="0.45">
      <c r="A777" s="1" t="s">
        <v>843</v>
      </c>
      <c r="B777" s="2">
        <v>46002</v>
      </c>
      <c r="C777" s="1" t="s">
        <v>29</v>
      </c>
      <c r="D777" s="1" t="s">
        <v>44</v>
      </c>
      <c r="E777" s="1" t="s">
        <v>89</v>
      </c>
      <c r="F777" s="1" t="s">
        <v>17</v>
      </c>
      <c r="G777" s="1" t="s">
        <v>50</v>
      </c>
      <c r="H777" s="1" t="s">
        <v>51</v>
      </c>
      <c r="I777" s="1" t="s">
        <v>35</v>
      </c>
      <c r="J777" s="1">
        <v>13</v>
      </c>
      <c r="K777" s="3">
        <v>40.909999999999997</v>
      </c>
      <c r="L777" s="4">
        <v>0.05</v>
      </c>
      <c r="M777" s="3">
        <v>505.29</v>
      </c>
      <c r="N777" s="3">
        <v>73.599999999999994</v>
      </c>
    </row>
    <row r="778" spans="1:14" x14ac:dyDescent="0.45">
      <c r="A778" s="1" t="s">
        <v>844</v>
      </c>
      <c r="B778" s="2">
        <v>46008</v>
      </c>
      <c r="C778" s="1" t="s">
        <v>48</v>
      </c>
      <c r="D778" s="1" t="s">
        <v>91</v>
      </c>
      <c r="E778" s="1" t="s">
        <v>38</v>
      </c>
      <c r="F778" s="1" t="s">
        <v>17</v>
      </c>
      <c r="G778" s="1" t="s">
        <v>74</v>
      </c>
      <c r="H778" s="1" t="s">
        <v>26</v>
      </c>
      <c r="I778" s="1" t="s">
        <v>20</v>
      </c>
      <c r="J778" s="1">
        <v>4</v>
      </c>
      <c r="K778" s="3">
        <v>714.9</v>
      </c>
      <c r="L778" s="4">
        <v>0</v>
      </c>
      <c r="M778" s="3">
        <v>2859.61</v>
      </c>
      <c r="N778" s="3">
        <v>499.24</v>
      </c>
    </row>
    <row r="779" spans="1:14" x14ac:dyDescent="0.45">
      <c r="A779" s="1" t="s">
        <v>845</v>
      </c>
      <c r="B779" s="2">
        <v>46017</v>
      </c>
      <c r="C779" s="1" t="s">
        <v>48</v>
      </c>
      <c r="D779" s="1" t="s">
        <v>49</v>
      </c>
      <c r="E779" s="1" t="s">
        <v>81</v>
      </c>
      <c r="F779" s="1" t="s">
        <v>24</v>
      </c>
      <c r="G779" s="1" t="s">
        <v>46</v>
      </c>
      <c r="H779" s="1" t="s">
        <v>26</v>
      </c>
      <c r="I779" s="1" t="s">
        <v>27</v>
      </c>
      <c r="J779" s="1">
        <v>3</v>
      </c>
      <c r="K779" s="3">
        <v>419.69</v>
      </c>
      <c r="L779" s="4">
        <v>0.03</v>
      </c>
      <c r="M779" s="3">
        <v>1221.29</v>
      </c>
      <c r="N779" s="3">
        <v>227.69</v>
      </c>
    </row>
    <row r="780" spans="1:14" x14ac:dyDescent="0.45">
      <c r="A780" s="1" t="s">
        <v>846</v>
      </c>
      <c r="B780" s="2">
        <v>46002</v>
      </c>
      <c r="C780" s="1" t="s">
        <v>14</v>
      </c>
      <c r="D780" s="1" t="s">
        <v>80</v>
      </c>
      <c r="E780" s="1" t="s">
        <v>104</v>
      </c>
      <c r="F780" s="1" t="s">
        <v>32</v>
      </c>
      <c r="G780" s="1" t="s">
        <v>50</v>
      </c>
      <c r="H780" s="1" t="s">
        <v>51</v>
      </c>
      <c r="I780" s="1" t="s">
        <v>39</v>
      </c>
      <c r="J780" s="1">
        <v>8</v>
      </c>
      <c r="K780" s="3">
        <v>492.84</v>
      </c>
      <c r="L780" s="4">
        <v>0.05</v>
      </c>
      <c r="M780" s="3">
        <v>3745.62</v>
      </c>
      <c r="N780" s="3">
        <v>715.88</v>
      </c>
    </row>
    <row r="781" spans="1:14" x14ac:dyDescent="0.45">
      <c r="A781" s="1" t="s">
        <v>847</v>
      </c>
      <c r="B781" s="2">
        <v>46015</v>
      </c>
      <c r="C781" s="1" t="s">
        <v>29</v>
      </c>
      <c r="D781" s="1" t="s">
        <v>30</v>
      </c>
      <c r="E781" s="1" t="s">
        <v>89</v>
      </c>
      <c r="F781" s="1" t="s">
        <v>17</v>
      </c>
      <c r="G781" s="1" t="s">
        <v>33</v>
      </c>
      <c r="H781" s="1" t="s">
        <v>34</v>
      </c>
      <c r="I781" s="1" t="s">
        <v>35</v>
      </c>
      <c r="J781" s="1">
        <v>4</v>
      </c>
      <c r="K781" s="3">
        <v>72.510000000000005</v>
      </c>
      <c r="L781" s="4">
        <v>0</v>
      </c>
      <c r="M781" s="3">
        <v>290.05</v>
      </c>
      <c r="N781" s="3">
        <v>7.41</v>
      </c>
    </row>
    <row r="782" spans="1:14" x14ac:dyDescent="0.45">
      <c r="A782" s="1" t="s">
        <v>848</v>
      </c>
      <c r="B782" s="2">
        <v>46006</v>
      </c>
      <c r="C782" s="1" t="s">
        <v>48</v>
      </c>
      <c r="D782" s="1" t="s">
        <v>49</v>
      </c>
      <c r="E782" s="1" t="s">
        <v>16</v>
      </c>
      <c r="F782" s="1" t="s">
        <v>17</v>
      </c>
      <c r="G782" s="1" t="s">
        <v>18</v>
      </c>
      <c r="H782" s="1" t="s">
        <v>19</v>
      </c>
      <c r="I782" s="1" t="s">
        <v>27</v>
      </c>
      <c r="J782" s="1">
        <v>2</v>
      </c>
      <c r="K782" s="3">
        <v>409.99</v>
      </c>
      <c r="L782" s="4">
        <v>7.0000000000000007E-2</v>
      </c>
      <c r="M782" s="3">
        <v>762.57</v>
      </c>
      <c r="N782" s="3">
        <v>118.65</v>
      </c>
    </row>
    <row r="783" spans="1:14" x14ac:dyDescent="0.45">
      <c r="A783" s="1" t="s">
        <v>849</v>
      </c>
      <c r="B783" s="2">
        <v>45992</v>
      </c>
      <c r="C783" s="1" t="s">
        <v>29</v>
      </c>
      <c r="D783" s="1" t="s">
        <v>44</v>
      </c>
      <c r="E783" s="1" t="s">
        <v>95</v>
      </c>
      <c r="F783" s="1" t="s">
        <v>24</v>
      </c>
      <c r="G783" s="1" t="s">
        <v>18</v>
      </c>
      <c r="H783" s="1" t="s">
        <v>19</v>
      </c>
      <c r="I783" s="1" t="s">
        <v>67</v>
      </c>
      <c r="J783" s="1">
        <v>6</v>
      </c>
      <c r="K783" s="3">
        <v>43.16</v>
      </c>
      <c r="L783" s="4">
        <v>0.1</v>
      </c>
      <c r="M783" s="3">
        <v>233.04</v>
      </c>
      <c r="N783" s="3">
        <v>-5.15</v>
      </c>
    </row>
    <row r="784" spans="1:14" x14ac:dyDescent="0.45">
      <c r="A784" s="1" t="s">
        <v>850</v>
      </c>
      <c r="B784" s="2">
        <v>46008</v>
      </c>
      <c r="C784" s="1" t="s">
        <v>29</v>
      </c>
      <c r="D784" s="1" t="s">
        <v>44</v>
      </c>
      <c r="E784" s="1" t="s">
        <v>60</v>
      </c>
      <c r="F784" s="1" t="s">
        <v>32</v>
      </c>
      <c r="G784" s="1" t="s">
        <v>46</v>
      </c>
      <c r="H784" s="1" t="s">
        <v>26</v>
      </c>
      <c r="I784" s="1" t="s">
        <v>67</v>
      </c>
      <c r="J784" s="1">
        <v>2</v>
      </c>
      <c r="K784" s="3">
        <v>39</v>
      </c>
      <c r="L784" s="4">
        <v>7.0000000000000007E-2</v>
      </c>
      <c r="M784" s="3">
        <v>72.55</v>
      </c>
      <c r="N784" s="3">
        <v>-40.229999999999997</v>
      </c>
    </row>
    <row r="785" spans="1:14" x14ac:dyDescent="0.45">
      <c r="A785" s="1" t="s">
        <v>851</v>
      </c>
      <c r="B785" s="2">
        <v>46000</v>
      </c>
      <c r="C785" s="1" t="s">
        <v>14</v>
      </c>
      <c r="D785" s="1" t="s">
        <v>22</v>
      </c>
      <c r="E785" s="1" t="s">
        <v>69</v>
      </c>
      <c r="F785" s="1" t="s">
        <v>17</v>
      </c>
      <c r="G785" s="1" t="s">
        <v>25</v>
      </c>
      <c r="H785" s="1" t="s">
        <v>26</v>
      </c>
      <c r="I785" s="1" t="s">
        <v>67</v>
      </c>
      <c r="J785" s="1">
        <v>8</v>
      </c>
      <c r="K785" s="3">
        <v>1913.4</v>
      </c>
      <c r="L785" s="4">
        <v>0.05</v>
      </c>
      <c r="M785" s="3">
        <v>14541.88</v>
      </c>
      <c r="N785" s="3">
        <v>2446.83</v>
      </c>
    </row>
    <row r="786" spans="1:14" x14ac:dyDescent="0.45">
      <c r="A786" s="1" t="s">
        <v>852</v>
      </c>
      <c r="B786" s="2">
        <v>45992</v>
      </c>
      <c r="C786" s="1" t="s">
        <v>29</v>
      </c>
      <c r="D786" s="1" t="s">
        <v>37</v>
      </c>
      <c r="E786" s="1" t="s">
        <v>95</v>
      </c>
      <c r="F786" s="1" t="s">
        <v>32</v>
      </c>
      <c r="G786" s="1" t="s">
        <v>61</v>
      </c>
      <c r="H786" s="1" t="s">
        <v>51</v>
      </c>
      <c r="I786" s="1" t="s">
        <v>39</v>
      </c>
      <c r="J786" s="1">
        <v>2</v>
      </c>
      <c r="K786" s="3">
        <v>112.62</v>
      </c>
      <c r="L786" s="4">
        <v>7.0000000000000007E-2</v>
      </c>
      <c r="M786" s="3">
        <v>209.48</v>
      </c>
      <c r="N786" s="3">
        <v>26.81</v>
      </c>
    </row>
    <row r="787" spans="1:14" x14ac:dyDescent="0.45">
      <c r="A787" s="1" t="s">
        <v>853</v>
      </c>
      <c r="B787" s="2">
        <v>46003</v>
      </c>
      <c r="C787" s="1" t="s">
        <v>29</v>
      </c>
      <c r="D787" s="1" t="s">
        <v>37</v>
      </c>
      <c r="E787" s="1" t="s">
        <v>53</v>
      </c>
      <c r="F787" s="1" t="s">
        <v>17</v>
      </c>
      <c r="G787" s="1" t="s">
        <v>46</v>
      </c>
      <c r="H787" s="1" t="s">
        <v>26</v>
      </c>
      <c r="I787" s="1" t="s">
        <v>39</v>
      </c>
      <c r="J787" s="1">
        <v>15</v>
      </c>
      <c r="K787" s="3">
        <v>107.58</v>
      </c>
      <c r="L787" s="4">
        <v>0.05</v>
      </c>
      <c r="M787" s="3">
        <v>1533.05</v>
      </c>
      <c r="N787" s="3">
        <v>321.35000000000002</v>
      </c>
    </row>
    <row r="788" spans="1:14" x14ac:dyDescent="0.45">
      <c r="A788" s="1" t="s">
        <v>854</v>
      </c>
      <c r="B788" s="2">
        <v>46020</v>
      </c>
      <c r="C788" s="1" t="s">
        <v>29</v>
      </c>
      <c r="D788" s="1" t="s">
        <v>37</v>
      </c>
      <c r="E788" s="1" t="s">
        <v>87</v>
      </c>
      <c r="F788" s="1" t="s">
        <v>17</v>
      </c>
      <c r="G788" s="1" t="s">
        <v>54</v>
      </c>
      <c r="H788" s="1" t="s">
        <v>51</v>
      </c>
      <c r="I788" s="1" t="s">
        <v>20</v>
      </c>
      <c r="J788" s="1">
        <v>6</v>
      </c>
      <c r="K788" s="3">
        <v>136.03</v>
      </c>
      <c r="L788" s="4">
        <v>0.03</v>
      </c>
      <c r="M788" s="3">
        <v>791.69</v>
      </c>
      <c r="N788" s="3">
        <v>125.11</v>
      </c>
    </row>
    <row r="789" spans="1:14" x14ac:dyDescent="0.45">
      <c r="A789" s="1" t="s">
        <v>855</v>
      </c>
      <c r="B789" s="2">
        <v>46021</v>
      </c>
      <c r="C789" s="1" t="s">
        <v>48</v>
      </c>
      <c r="D789" s="1" t="s">
        <v>91</v>
      </c>
      <c r="E789" s="1" t="s">
        <v>95</v>
      </c>
      <c r="F789" s="1" t="s">
        <v>32</v>
      </c>
      <c r="G789" s="1" t="s">
        <v>61</v>
      </c>
      <c r="H789" s="1" t="s">
        <v>51</v>
      </c>
      <c r="I789" s="1" t="s">
        <v>27</v>
      </c>
      <c r="J789" s="1">
        <v>7</v>
      </c>
      <c r="K789" s="3">
        <v>760.32</v>
      </c>
      <c r="L789" s="4">
        <v>0</v>
      </c>
      <c r="M789" s="3">
        <v>5322.25</v>
      </c>
      <c r="N789" s="3">
        <v>873.45</v>
      </c>
    </row>
    <row r="790" spans="1:14" x14ac:dyDescent="0.45">
      <c r="A790" s="1" t="s">
        <v>856</v>
      </c>
      <c r="B790" s="2">
        <v>46000</v>
      </c>
      <c r="C790" s="1" t="s">
        <v>29</v>
      </c>
      <c r="D790" s="1" t="s">
        <v>30</v>
      </c>
      <c r="E790" s="1" t="s">
        <v>63</v>
      </c>
      <c r="F790" s="1" t="s">
        <v>24</v>
      </c>
      <c r="G790" s="1" t="s">
        <v>33</v>
      </c>
      <c r="H790" s="1" t="s">
        <v>34</v>
      </c>
      <c r="I790" s="1" t="s">
        <v>67</v>
      </c>
      <c r="J790" s="1">
        <v>7</v>
      </c>
      <c r="K790" s="3">
        <v>69.16</v>
      </c>
      <c r="L790" s="4">
        <v>0.1</v>
      </c>
      <c r="M790" s="3">
        <v>435.71</v>
      </c>
      <c r="N790" s="3">
        <v>64.599999999999994</v>
      </c>
    </row>
    <row r="791" spans="1:14" x14ac:dyDescent="0.45">
      <c r="A791" s="1" t="s">
        <v>857</v>
      </c>
      <c r="B791" s="2">
        <v>46009</v>
      </c>
      <c r="C791" s="1" t="s">
        <v>14</v>
      </c>
      <c r="D791" s="1" t="s">
        <v>80</v>
      </c>
      <c r="E791" s="1" t="s">
        <v>95</v>
      </c>
      <c r="F791" s="1" t="s">
        <v>17</v>
      </c>
      <c r="G791" s="1" t="s">
        <v>18</v>
      </c>
      <c r="H791" s="1" t="s">
        <v>19</v>
      </c>
      <c r="I791" s="1" t="s">
        <v>35</v>
      </c>
      <c r="J791" s="1">
        <v>2</v>
      </c>
      <c r="K791" s="3">
        <v>487.09</v>
      </c>
      <c r="L791" s="4">
        <v>0.03</v>
      </c>
      <c r="M791" s="3">
        <v>944.95</v>
      </c>
      <c r="N791" s="3">
        <v>169.43</v>
      </c>
    </row>
    <row r="792" spans="1:14" x14ac:dyDescent="0.45">
      <c r="A792" s="1" t="s">
        <v>858</v>
      </c>
      <c r="B792" s="2">
        <v>45996</v>
      </c>
      <c r="C792" s="1" t="s">
        <v>29</v>
      </c>
      <c r="D792" s="1" t="s">
        <v>30</v>
      </c>
      <c r="E792" s="1" t="s">
        <v>56</v>
      </c>
      <c r="F792" s="1" t="s">
        <v>24</v>
      </c>
      <c r="G792" s="1" t="s">
        <v>66</v>
      </c>
      <c r="H792" s="1" t="s">
        <v>26</v>
      </c>
      <c r="I792" s="1" t="s">
        <v>39</v>
      </c>
      <c r="J792" s="1">
        <v>17</v>
      </c>
      <c r="K792" s="3">
        <v>72.430000000000007</v>
      </c>
      <c r="L792" s="4">
        <v>0.05</v>
      </c>
      <c r="M792" s="3">
        <v>1169.69</v>
      </c>
      <c r="N792" s="3">
        <v>187.62</v>
      </c>
    </row>
    <row r="793" spans="1:14" x14ac:dyDescent="0.45">
      <c r="A793" s="1" t="s">
        <v>859</v>
      </c>
      <c r="B793" s="2">
        <v>46000</v>
      </c>
      <c r="C793" s="1" t="s">
        <v>14</v>
      </c>
      <c r="D793" s="1" t="s">
        <v>80</v>
      </c>
      <c r="E793" s="1" t="s">
        <v>69</v>
      </c>
      <c r="F793" s="1" t="s">
        <v>17</v>
      </c>
      <c r="G793" s="1" t="s">
        <v>61</v>
      </c>
      <c r="H793" s="1" t="s">
        <v>51</v>
      </c>
      <c r="I793" s="1" t="s">
        <v>67</v>
      </c>
      <c r="J793" s="1">
        <v>5</v>
      </c>
      <c r="K793" s="3">
        <v>525.88</v>
      </c>
      <c r="L793" s="4">
        <v>7.0000000000000007E-2</v>
      </c>
      <c r="M793" s="3">
        <v>2445.34</v>
      </c>
      <c r="N793" s="3">
        <v>520.13</v>
      </c>
    </row>
    <row r="794" spans="1:14" x14ac:dyDescent="0.45">
      <c r="A794" s="1" t="s">
        <v>860</v>
      </c>
      <c r="B794" s="2">
        <v>46017</v>
      </c>
      <c r="C794" s="1" t="s">
        <v>14</v>
      </c>
      <c r="D794" s="1" t="s">
        <v>22</v>
      </c>
      <c r="E794" s="1" t="s">
        <v>41</v>
      </c>
      <c r="F794" s="1" t="s">
        <v>32</v>
      </c>
      <c r="G794" s="1" t="s">
        <v>57</v>
      </c>
      <c r="H794" s="1" t="s">
        <v>51</v>
      </c>
      <c r="I794" s="1" t="s">
        <v>67</v>
      </c>
      <c r="J794" s="1">
        <v>4</v>
      </c>
      <c r="K794" s="3">
        <v>1718.12</v>
      </c>
      <c r="L794" s="4">
        <v>7.0000000000000007E-2</v>
      </c>
      <c r="M794" s="3">
        <v>6391.42</v>
      </c>
      <c r="N794" s="3">
        <v>1322.64</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3DFD7-55B9-4032-8B0B-C32F22C013D9}">
  <dimension ref="A3:P26"/>
  <sheetViews>
    <sheetView topLeftCell="G1" workbookViewId="0"/>
  </sheetViews>
  <sheetFormatPr defaultRowHeight="21" x14ac:dyDescent="0.45"/>
  <cols>
    <col min="1" max="1" width="12.09765625" bestFit="1" customWidth="1"/>
    <col min="2" max="2" width="10.8984375" bestFit="1" customWidth="1"/>
    <col min="3" max="3" width="11.8984375" bestFit="1" customWidth="1"/>
    <col min="4" max="4" width="12.09765625" bestFit="1" customWidth="1"/>
    <col min="5" max="5" width="2" customWidth="1"/>
    <col min="6" max="6" width="11.8984375" bestFit="1" customWidth="1"/>
    <col min="7" max="7" width="11.59765625" bestFit="1" customWidth="1"/>
    <col min="8" max="8" width="2.59765625" customWidth="1"/>
    <col min="9" max="9" width="12" bestFit="1" customWidth="1"/>
    <col min="10" max="10" width="11.59765625" bestFit="1" customWidth="1"/>
    <col min="11" max="11" width="3" customWidth="1"/>
    <col min="12" max="12" width="17.69921875" bestFit="1" customWidth="1"/>
    <col min="13" max="13" width="12.09765625" bestFit="1" customWidth="1"/>
    <col min="14" max="14" width="2.5" customWidth="1"/>
    <col min="15" max="15" width="11.8984375" bestFit="1" customWidth="1"/>
    <col min="16" max="16" width="11.59765625" bestFit="1" customWidth="1"/>
  </cols>
  <sheetData>
    <row r="3" spans="1:16" x14ac:dyDescent="0.45">
      <c r="A3" t="s">
        <v>861</v>
      </c>
      <c r="C3" s="6" t="s">
        <v>863</v>
      </c>
      <c r="D3" t="s">
        <v>862</v>
      </c>
      <c r="F3" s="6" t="s">
        <v>863</v>
      </c>
      <c r="G3" t="s">
        <v>861</v>
      </c>
      <c r="I3" s="6" t="s">
        <v>863</v>
      </c>
      <c r="J3" t="s">
        <v>861</v>
      </c>
      <c r="L3" s="6" t="s">
        <v>863</v>
      </c>
      <c r="M3" t="s">
        <v>862</v>
      </c>
      <c r="O3" s="6" t="s">
        <v>863</v>
      </c>
      <c r="P3" t="s">
        <v>861</v>
      </c>
    </row>
    <row r="4" spans="1:16" x14ac:dyDescent="0.45">
      <c r="A4" s="12">
        <v>1581413.4900000012</v>
      </c>
      <c r="C4" s="7" t="s">
        <v>865</v>
      </c>
      <c r="D4" s="12">
        <v>54635.72</v>
      </c>
      <c r="F4" s="7" t="s">
        <v>22</v>
      </c>
      <c r="G4" s="12">
        <v>586601.23000000021</v>
      </c>
      <c r="I4" s="7" t="s">
        <v>57</v>
      </c>
      <c r="J4" s="12">
        <v>126612.63000000002</v>
      </c>
      <c r="L4" s="7" t="s">
        <v>69</v>
      </c>
      <c r="M4" s="12">
        <v>23293.139999999996</v>
      </c>
      <c r="O4" s="7" t="s">
        <v>870</v>
      </c>
      <c r="P4" s="12">
        <v>99965.999999999971</v>
      </c>
    </row>
    <row r="5" spans="1:16" x14ac:dyDescent="0.45">
      <c r="C5" s="7" t="s">
        <v>866</v>
      </c>
      <c r="D5" s="12">
        <v>75679.860000000015</v>
      </c>
      <c r="F5" s="7" t="s">
        <v>91</v>
      </c>
      <c r="G5" s="12">
        <v>271772.81999999995</v>
      </c>
      <c r="I5" s="7" t="s">
        <v>54</v>
      </c>
      <c r="J5" s="12">
        <v>193560.9</v>
      </c>
      <c r="L5" s="7" t="s">
        <v>56</v>
      </c>
      <c r="M5" s="12">
        <v>18294.579999999994</v>
      </c>
      <c r="O5" s="7" t="s">
        <v>871</v>
      </c>
      <c r="P5" s="12">
        <v>136819.93</v>
      </c>
    </row>
    <row r="6" spans="1:16" x14ac:dyDescent="0.45">
      <c r="A6" t="s">
        <v>862</v>
      </c>
      <c r="C6" s="7" t="s">
        <v>867</v>
      </c>
      <c r="D6" s="12">
        <v>70521.999999999985</v>
      </c>
      <c r="F6" s="7" t="s">
        <v>78</v>
      </c>
      <c r="G6" s="12">
        <v>222445.32000000007</v>
      </c>
      <c r="I6" s="7" t="s">
        <v>50</v>
      </c>
      <c r="J6" s="12">
        <v>160861.06</v>
      </c>
      <c r="L6" s="7" t="s">
        <v>65</v>
      </c>
      <c r="M6" s="12">
        <v>17293.280000000002</v>
      </c>
      <c r="O6" s="7" t="s">
        <v>872</v>
      </c>
      <c r="P6" s="12">
        <v>91339.38</v>
      </c>
    </row>
    <row r="7" spans="1:16" x14ac:dyDescent="0.45">
      <c r="A7" s="12">
        <v>280699.01000000036</v>
      </c>
      <c r="C7" s="7" t="s">
        <v>868</v>
      </c>
      <c r="D7" s="12">
        <v>79861.430000000022</v>
      </c>
      <c r="F7" s="7" t="s">
        <v>80</v>
      </c>
      <c r="G7" s="12">
        <v>137310.39000000007</v>
      </c>
      <c r="I7" s="7" t="s">
        <v>25</v>
      </c>
      <c r="J7" s="12">
        <v>165860.76999999999</v>
      </c>
      <c r="L7" s="7" t="s">
        <v>95</v>
      </c>
      <c r="M7" s="12">
        <v>17161.929999999997</v>
      </c>
      <c r="O7" s="7" t="s">
        <v>873</v>
      </c>
      <c r="P7" s="12">
        <v>111875.24999999996</v>
      </c>
    </row>
    <row r="8" spans="1:16" x14ac:dyDescent="0.45">
      <c r="C8" s="7" t="s">
        <v>864</v>
      </c>
      <c r="D8" s="12">
        <v>280699.01</v>
      </c>
      <c r="F8" s="7" t="s">
        <v>49</v>
      </c>
      <c r="G8" s="12">
        <v>126283.10999999999</v>
      </c>
      <c r="I8" s="7" t="s">
        <v>46</v>
      </c>
      <c r="J8" s="12">
        <v>114729.72999999998</v>
      </c>
      <c r="L8" s="7" t="s">
        <v>31</v>
      </c>
      <c r="M8" s="12">
        <v>16692.84</v>
      </c>
      <c r="O8" s="7" t="s">
        <v>874</v>
      </c>
      <c r="P8" s="12">
        <v>147274.65</v>
      </c>
    </row>
    <row r="9" spans="1:16" x14ac:dyDescent="0.45">
      <c r="F9" s="7" t="s">
        <v>15</v>
      </c>
      <c r="G9" s="12">
        <v>95341.18</v>
      </c>
      <c r="I9" s="7" t="s">
        <v>18</v>
      </c>
      <c r="J9" s="12">
        <v>107659.68</v>
      </c>
      <c r="L9" s="7" t="s">
        <v>864</v>
      </c>
      <c r="M9" s="12">
        <v>92735.76999999999</v>
      </c>
      <c r="O9" s="7" t="s">
        <v>875</v>
      </c>
      <c r="P9" s="12">
        <v>144543.22</v>
      </c>
    </row>
    <row r="10" spans="1:16" x14ac:dyDescent="0.45">
      <c r="F10" s="7" t="s">
        <v>37</v>
      </c>
      <c r="G10" s="12">
        <v>69884.23</v>
      </c>
      <c r="I10" s="7" t="s">
        <v>33</v>
      </c>
      <c r="J10" s="12">
        <v>236064.30000000002</v>
      </c>
      <c r="O10" s="7" t="s">
        <v>876</v>
      </c>
      <c r="P10" s="12">
        <v>140822</v>
      </c>
    </row>
    <row r="11" spans="1:16" x14ac:dyDescent="0.45">
      <c r="A11" t="s">
        <v>882</v>
      </c>
      <c r="B11" s="8">
        <f>GETPIVOTDATA("Sales",$A$3)</f>
        <v>1581413.4900000012</v>
      </c>
      <c r="F11" s="7" t="s">
        <v>30</v>
      </c>
      <c r="G11" s="12">
        <v>44843.98000000001</v>
      </c>
      <c r="I11" s="7" t="s">
        <v>74</v>
      </c>
      <c r="J11" s="12">
        <v>119598.09999999999</v>
      </c>
      <c r="O11" s="7" t="s">
        <v>877</v>
      </c>
      <c r="P11" s="12">
        <v>98578.01999999999</v>
      </c>
    </row>
    <row r="12" spans="1:16" x14ac:dyDescent="0.45">
      <c r="A12" t="s">
        <v>883</v>
      </c>
      <c r="B12" s="8">
        <f>GETPIVOTDATA("Profit",$A$6)</f>
        <v>280699.01000000036</v>
      </c>
      <c r="F12" s="7" t="s">
        <v>44</v>
      </c>
      <c r="G12" s="12">
        <v>26931.23</v>
      </c>
      <c r="I12" s="7" t="s">
        <v>66</v>
      </c>
      <c r="J12" s="12">
        <v>178446.68000000005</v>
      </c>
      <c r="O12" s="7" t="s">
        <v>878</v>
      </c>
      <c r="P12" s="12">
        <v>163580.94</v>
      </c>
    </row>
    <row r="13" spans="1:16" x14ac:dyDescent="0.45">
      <c r="A13" t="s">
        <v>884</v>
      </c>
      <c r="B13" s="9">
        <f>B12/B11</f>
        <v>0.1774988083603613</v>
      </c>
      <c r="F13" s="7" t="s">
        <v>864</v>
      </c>
      <c r="G13" s="12">
        <v>1581413.4900000002</v>
      </c>
      <c r="I13" s="7" t="s">
        <v>61</v>
      </c>
      <c r="J13" s="12">
        <v>178019.63999999996</v>
      </c>
      <c r="O13" s="7" t="s">
        <v>879</v>
      </c>
      <c r="P13" s="12">
        <v>136605.73999999996</v>
      </c>
    </row>
    <row r="14" spans="1:16" x14ac:dyDescent="0.45">
      <c r="I14" s="7" t="s">
        <v>864</v>
      </c>
      <c r="J14" s="12">
        <v>1581413.49</v>
      </c>
      <c r="O14" s="7" t="s">
        <v>880</v>
      </c>
      <c r="P14" s="12">
        <v>183009.59000000003</v>
      </c>
    </row>
    <row r="15" spans="1:16" x14ac:dyDescent="0.45">
      <c r="O15" s="7" t="s">
        <v>881</v>
      </c>
      <c r="P15" s="12">
        <v>126998.77</v>
      </c>
    </row>
    <row r="16" spans="1:16" x14ac:dyDescent="0.45">
      <c r="I16" s="10" t="s">
        <v>5</v>
      </c>
      <c r="J16" s="11" t="s">
        <v>11</v>
      </c>
      <c r="O16" s="7" t="s">
        <v>864</v>
      </c>
      <c r="P16" s="12">
        <v>1581413.49</v>
      </c>
    </row>
    <row r="17" spans="9:10" x14ac:dyDescent="0.45">
      <c r="I17" t="str">
        <f>I4</f>
        <v>Arizona</v>
      </c>
      <c r="J17" s="8">
        <f>GETPIVOTDATA("Sales",$I$3,"State",I17)</f>
        <v>126612.63000000002</v>
      </c>
    </row>
    <row r="18" spans="9:10" x14ac:dyDescent="0.45">
      <c r="I18" t="str">
        <f t="shared" ref="I18:I26" si="0">I5</f>
        <v>California</v>
      </c>
      <c r="J18" s="8">
        <f t="shared" ref="J18:J26" si="1">GETPIVOTDATA("Sales",$I$3,"State",I18)</f>
        <v>193560.9</v>
      </c>
    </row>
    <row r="19" spans="9:10" x14ac:dyDescent="0.45">
      <c r="I19" t="str">
        <f t="shared" si="0"/>
        <v>Colorado</v>
      </c>
      <c r="J19" s="8">
        <f t="shared" si="1"/>
        <v>160861.06</v>
      </c>
    </row>
    <row r="20" spans="9:10" x14ac:dyDescent="0.45">
      <c r="I20" t="str">
        <f t="shared" si="0"/>
        <v>Florida</v>
      </c>
      <c r="J20" s="8">
        <f t="shared" si="1"/>
        <v>165860.76999999999</v>
      </c>
    </row>
    <row r="21" spans="9:10" x14ac:dyDescent="0.45">
      <c r="I21" t="str">
        <f t="shared" si="0"/>
        <v>Georgia</v>
      </c>
      <c r="J21" s="8">
        <f t="shared" si="1"/>
        <v>114729.72999999998</v>
      </c>
    </row>
    <row r="22" spans="9:10" x14ac:dyDescent="0.45">
      <c r="I22" t="str">
        <f t="shared" si="0"/>
        <v>Illinois</v>
      </c>
      <c r="J22" s="8">
        <f t="shared" si="1"/>
        <v>107659.68</v>
      </c>
    </row>
    <row r="23" spans="9:10" x14ac:dyDescent="0.45">
      <c r="I23" t="str">
        <f t="shared" si="0"/>
        <v>New York</v>
      </c>
      <c r="J23" s="8">
        <f t="shared" si="1"/>
        <v>236064.30000000002</v>
      </c>
    </row>
    <row r="24" spans="9:10" x14ac:dyDescent="0.45">
      <c r="I24" t="str">
        <f t="shared" si="0"/>
        <v>North Carolina</v>
      </c>
      <c r="J24" s="8">
        <f t="shared" si="1"/>
        <v>119598.09999999999</v>
      </c>
    </row>
    <row r="25" spans="9:10" x14ac:dyDescent="0.45">
      <c r="I25" t="str">
        <f t="shared" si="0"/>
        <v>Texas</v>
      </c>
      <c r="J25" s="8">
        <f t="shared" si="1"/>
        <v>178446.68000000005</v>
      </c>
    </row>
    <row r="26" spans="9:10" x14ac:dyDescent="0.45">
      <c r="I26" t="str">
        <f t="shared" si="0"/>
        <v>Washington</v>
      </c>
      <c r="J26" s="8">
        <f t="shared" si="1"/>
        <v>178019.63999999996</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86062-65CC-449D-82EC-23C7BFF70E28}">
  <dimension ref="A1"/>
  <sheetViews>
    <sheetView showGridLines="0" tabSelected="1" zoomScaleNormal="100" workbookViewId="0">
      <selection activeCell="F25" sqref="F25"/>
    </sheetView>
  </sheetViews>
  <sheetFormatPr defaultRowHeight="21" x14ac:dyDescent="0.45"/>
  <cols>
    <col min="1" max="1" width="1.8984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Easy Click Learning</dc:creator>
  <cp:lastModifiedBy>Ashish Kumar</cp:lastModifiedBy>
  <dcterms:created xsi:type="dcterms:W3CDTF">2026-04-25T05:27:51Z</dcterms:created>
  <dcterms:modified xsi:type="dcterms:W3CDTF">2026-05-16T07:08:56Z</dcterms:modified>
</cp:coreProperties>
</file>